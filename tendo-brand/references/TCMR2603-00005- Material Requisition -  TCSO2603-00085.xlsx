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ABA10583-6186-4891-BDF6-377290345A5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terial Requisition" sheetId="1" r:id="rId1"/>
  </sheets>
  <definedNames>
    <definedName name="_xlnm.Print_Area" localSheetId="0">'Material Requisition'!$A$1:$H$51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G7" i="1" s="1"/>
  <c r="H15" i="1"/>
  <c r="H14" i="1"/>
  <c r="A14" i="1"/>
  <c r="A15" i="1" s="1"/>
  <c r="A16" i="1" s="1"/>
  <c r="A17" i="1" s="1"/>
  <c r="A18" i="1" s="1"/>
  <c r="A19" i="1" s="1"/>
  <c r="A20" i="1" s="1"/>
  <c r="A21" i="1" s="1"/>
  <c r="H13" i="1"/>
  <c r="A13" i="1"/>
  <c r="H12" i="1"/>
  <c r="G8" i="1" l="1"/>
  <c r="G9" i="1" s="1"/>
</calcChain>
</file>

<file path=xl/sharedStrings.xml><?xml version="1.0" encoding="utf-8"?>
<sst xmlns="http://schemas.openxmlformats.org/spreadsheetml/2006/main" count="47" uniqueCount="39">
  <si>
    <t>Material Requisition</t>
  </si>
  <si>
    <t>Deliver To:</t>
  </si>
  <si>
    <t>Material Requisition No.</t>
  </si>
  <si>
    <t>:</t>
  </si>
  <si>
    <t>TCMR2604-00006</t>
  </si>
  <si>
    <t>Company:</t>
  </si>
  <si>
    <t>Tendo Innovations Pte. Ltd.</t>
  </si>
  <si>
    <t>Date</t>
  </si>
  <si>
    <t>Address:</t>
  </si>
  <si>
    <t>20 Cecil Street, #05-03, Plus, Singapore 049705</t>
  </si>
  <si>
    <t>Currency</t>
  </si>
  <si>
    <t>CNY</t>
  </si>
  <si>
    <t>Sales Order No.:</t>
  </si>
  <si>
    <t xml:space="preserve"> TCSO2603-00085 </t>
  </si>
  <si>
    <t>Sub-Total Cost</t>
  </si>
  <si>
    <t>Sales Quotation No.:</t>
  </si>
  <si>
    <t xml:space="preserve"> TCSQ2603-00141</t>
  </si>
  <si>
    <t>Tax</t>
  </si>
  <si>
    <t>Submitted By:</t>
  </si>
  <si>
    <t>Cailleach.Zou</t>
  </si>
  <si>
    <t>Total Cost</t>
  </si>
  <si>
    <t>No.</t>
  </si>
  <si>
    <t>Part No.</t>
  </si>
  <si>
    <t>Description</t>
  </si>
  <si>
    <t>Qty</t>
  </si>
  <si>
    <t>Unit</t>
  </si>
  <si>
    <t>Unit Cost</t>
  </si>
  <si>
    <t>WMPFSE</t>
  </si>
  <si>
    <t>1U 理线架</t>
  </si>
  <si>
    <t>By signing below, the Employee acknowledged that the above materials had been withdraw.</t>
  </si>
  <si>
    <t>Requested By:</t>
  </si>
  <si>
    <t>Approved By:</t>
  </si>
  <si>
    <t>Signature:</t>
  </si>
  <si>
    <t>Name:</t>
  </si>
  <si>
    <t>Title:</t>
  </si>
  <si>
    <t>Date:</t>
  </si>
  <si>
    <t>Name:Cailleach Zou</t>
    <phoneticPr fontId="33" type="noConversion"/>
  </si>
  <si>
    <t>Title:Senior Project Engineer</t>
    <phoneticPr fontId="33" type="noConversion"/>
  </si>
  <si>
    <t>Date:22/07/26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</si>
</sst>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[$-14809]d\ mmmm\,\ yyyy;@"/>
    <numFmt numFmtId="177" formatCode="_ [$¥-804]* #,##0.00_ ;_ [$¥-804]* \-#,##0.00_ ;_ [$¥-804]* &quot;-&quot;??_ ;_ @_ "/>
    <numFmt numFmtId="178" formatCode="_ [$¥-804]* #,##0_ ;_ [$¥-804]* \-#,##0_ ;_ [$¥-804]* &quot;-&quot;_ ;_ @_ "/>
    <numFmt numFmtId="179" formatCode="_-&quot;$&quot;* #,##0.00_-;\-&quot;$&quot;* #,##0.00_-;_-&quot;$&quot;* &quot;-&quot;??_-;_-@_-"/>
  </numFmts>
  <fonts count="35" x14ac:knownFonts="1">
    <font>
      <sz val="11"/>
      <color theme="1"/>
      <name val="Arial"/>
      <charset val="134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0"/>
      <color indexed="4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i/>
      <sz val="12"/>
      <color theme="1"/>
      <name val="Arial"/>
      <family val="2"/>
      <scheme val="minor"/>
    </font>
    <font>
      <sz val="12"/>
      <color rgb="FFFFFFFF"/>
      <name val="Arial"/>
      <family val="2"/>
      <scheme val="minor"/>
    </font>
    <font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9"/>
      <name val="Arial"/>
      <family val="2"/>
      <scheme val="minor"/>
    </font>
    <font>
      <sz val="12"/>
      <color theme="1"/>
      <name val="Arial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52">
    <xf numFmtId="0" fontId="0" fillId="0" borderId="0"/>
    <xf numFmtId="43" fontId="7" fillId="0" borderId="0"/>
    <xf numFmtId="44" fontId="20" fillId="0" borderId="0"/>
    <xf numFmtId="0" fontId="6" fillId="0" borderId="0">
      <alignment vertical="top"/>
    </xf>
    <xf numFmtId="0" fontId="5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20" fillId="4" borderId="0"/>
    <xf numFmtId="0" fontId="20" fillId="5" borderId="0"/>
    <xf numFmtId="0" fontId="20" fillId="6" borderId="0"/>
    <xf numFmtId="0" fontId="20" fillId="7" borderId="0"/>
    <xf numFmtId="0" fontId="20" fillId="8" borderId="0"/>
    <xf numFmtId="0" fontId="20" fillId="9" borderId="0"/>
    <xf numFmtId="0" fontId="20" fillId="10" borderId="0"/>
    <xf numFmtId="0" fontId="20" fillId="11" borderId="0"/>
    <xf numFmtId="0" fontId="20" fillId="12" borderId="0"/>
    <xf numFmtId="0" fontId="20" fillId="7" borderId="0"/>
    <xf numFmtId="0" fontId="20" fillId="10" borderId="0"/>
    <xf numFmtId="0" fontId="20" fillId="13" borderId="0"/>
    <xf numFmtId="0" fontId="26" fillId="14" borderId="0"/>
    <xf numFmtId="0" fontId="26" fillId="11" borderId="0"/>
    <xf numFmtId="0" fontId="26" fillId="12" borderId="0"/>
    <xf numFmtId="0" fontId="26" fillId="15" borderId="0"/>
    <xf numFmtId="0" fontId="26" fillId="16" borderId="0"/>
    <xf numFmtId="0" fontId="26" fillId="17" borderId="0"/>
    <xf numFmtId="0" fontId="26" fillId="18" borderId="0"/>
    <xf numFmtId="0" fontId="26" fillId="19" borderId="0"/>
    <xf numFmtId="0" fontId="26" fillId="20" borderId="0"/>
    <xf numFmtId="0" fontId="26" fillId="15" borderId="0"/>
    <xf numFmtId="0" fontId="26" fillId="16" borderId="0"/>
    <xf numFmtId="0" fontId="26" fillId="21" borderId="0"/>
    <xf numFmtId="0" fontId="27" fillId="5" borderId="0"/>
    <xf numFmtId="0" fontId="22" fillId="22" borderId="20"/>
    <xf numFmtId="0" fontId="19" fillId="23" borderId="21"/>
    <xf numFmtId="179" fontId="7" fillId="0" borderId="0"/>
    <xf numFmtId="0" fontId="24" fillId="0" borderId="0"/>
    <xf numFmtId="0" fontId="29" fillId="6" borderId="0"/>
    <xf numFmtId="0" fontId="32" fillId="0" borderId="22"/>
    <xf numFmtId="0" fontId="17" fillId="0" borderId="23"/>
    <xf numFmtId="0" fontId="25" fillId="0" borderId="24"/>
    <xf numFmtId="0" fontId="25" fillId="0" borderId="0"/>
    <xf numFmtId="0" fontId="21" fillId="9" borderId="20"/>
    <xf numFmtId="0" fontId="16" fillId="0" borderId="25"/>
    <xf numFmtId="0" fontId="23" fillId="24" borderId="0"/>
    <xf numFmtId="0" fontId="20" fillId="0" borderId="0"/>
    <xf numFmtId="0" fontId="7" fillId="25" borderId="26"/>
    <xf numFmtId="0" fontId="30" fillId="22" borderId="27"/>
    <xf numFmtId="0" fontId="18" fillId="0" borderId="0"/>
    <xf numFmtId="0" fontId="31" fillId="0" borderId="28"/>
    <xf numFmtId="0" fontId="28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indent="1"/>
    </xf>
    <xf numFmtId="3" fontId="4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horizontal="justify" vertical="center" wrapText="1"/>
    </xf>
    <xf numFmtId="0" fontId="14" fillId="0" borderId="7" xfId="0" applyFont="1" applyBorder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7" applyFont="1"/>
    <xf numFmtId="49" fontId="12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3" borderId="9" xfId="0" applyFont="1" applyFill="1" applyBorder="1" applyAlignment="1">
      <alignment vertical="center" wrapText="1"/>
    </xf>
    <xf numFmtId="176" fontId="3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vertical="center"/>
    </xf>
    <xf numFmtId="177" fontId="10" fillId="0" borderId="0" xfId="0" applyNumberFormat="1" applyFont="1" applyAlignment="1">
      <alignment horizontal="left" vertical="center"/>
    </xf>
    <xf numFmtId="0" fontId="12" fillId="0" borderId="14" xfId="0" applyFont="1" applyBorder="1" applyAlignment="1">
      <alignment horizontal="center" vertical="center" wrapText="1"/>
    </xf>
    <xf numFmtId="178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0" fillId="0" borderId="15" xfId="0" applyBorder="1"/>
    <xf numFmtId="0" fontId="10" fillId="0" borderId="17" xfId="0" applyFont="1" applyBorder="1" applyAlignment="1">
      <alignment horizontal="left" vertical="center" wrapText="1"/>
    </xf>
    <xf numFmtId="0" fontId="0" fillId="0" borderId="33" xfId="0" applyBorder="1"/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" fillId="0" borderId="0" xfId="0" applyFont="1" applyAlignment="1">
      <alignment vertical="top"/>
    </xf>
    <xf numFmtId="0" fontId="10" fillId="0" borderId="32" xfId="0" applyFont="1" applyBorder="1" applyAlignment="1">
      <alignment horizontal="center" vertical="center" wrapText="1"/>
    </xf>
    <xf numFmtId="0" fontId="0" fillId="0" borderId="12" xfId="0" applyBorder="1"/>
    <xf numFmtId="0" fontId="0" fillId="0" borderId="10" xfId="0" applyBorder="1"/>
    <xf numFmtId="0" fontId="10" fillId="0" borderId="11" xfId="0" applyFont="1" applyBorder="1" applyAlignment="1">
      <alignment horizontal="left" vertical="center" wrapText="1"/>
    </xf>
    <xf numFmtId="0" fontId="0" fillId="0" borderId="8" xfId="0" applyBorder="1"/>
    <xf numFmtId="0" fontId="12" fillId="3" borderId="9" xfId="0" applyFont="1" applyFill="1" applyBorder="1" applyAlignment="1">
      <alignment horizontal="left" vertical="center" wrapText="1"/>
    </xf>
    <xf numFmtId="0" fontId="0" fillId="0" borderId="30" xfId="0" applyBorder="1"/>
    <xf numFmtId="0" fontId="0" fillId="0" borderId="31" xfId="0" applyBorder="1"/>
    <xf numFmtId="0" fontId="13" fillId="0" borderId="1" xfId="0" applyFont="1" applyBorder="1" applyAlignment="1">
      <alignment horizontal="center" vertical="center" wrapText="1"/>
    </xf>
    <xf numFmtId="0" fontId="0" fillId="0" borderId="29" xfId="0" applyBorder="1"/>
    <xf numFmtId="0" fontId="9" fillId="2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19" xfId="0" applyBorder="1"/>
    <xf numFmtId="0" fontId="12" fillId="0" borderId="5" xfId="0" applyFont="1" applyBorder="1" applyAlignment="1">
      <alignment horizontal="left" vertical="center"/>
    </xf>
    <xf numFmtId="0" fontId="0" fillId="0" borderId="6" xfId="0" applyBorder="1"/>
  </cellXfs>
  <cellStyles count="52">
    <cellStyle name="20% - Accent1 2" xfId="9" xr:uid="{00000000-0005-0000-0000-000009000000}"/>
    <cellStyle name="20% - Accent2 2" xfId="10" xr:uid="{00000000-0005-0000-0000-00000A000000}"/>
    <cellStyle name="20% - Accent3 2" xfId="11" xr:uid="{00000000-0005-0000-0000-00000B000000}"/>
    <cellStyle name="20% - Accent4 2" xfId="12" xr:uid="{00000000-0005-0000-0000-00000C000000}"/>
    <cellStyle name="20% - Accent5 2" xfId="13" xr:uid="{00000000-0005-0000-0000-00000D000000}"/>
    <cellStyle name="20% - Accent6 2" xfId="14" xr:uid="{00000000-0005-0000-0000-00000E000000}"/>
    <cellStyle name="40% - Accent1 2" xfId="15" xr:uid="{00000000-0005-0000-0000-00000F000000}"/>
    <cellStyle name="40% - Accent2 2" xfId="16" xr:uid="{00000000-0005-0000-0000-000010000000}"/>
    <cellStyle name="40% - Accent3 2" xfId="17" xr:uid="{00000000-0005-0000-0000-000011000000}"/>
    <cellStyle name="40% - Accent4 2" xfId="18" xr:uid="{00000000-0005-0000-0000-000012000000}"/>
    <cellStyle name="40% - Accent5 2" xfId="19" xr:uid="{00000000-0005-0000-0000-000013000000}"/>
    <cellStyle name="40% - Accent6 2" xfId="20" xr:uid="{00000000-0005-0000-0000-000014000000}"/>
    <cellStyle name="60% - Accent1 2" xfId="21" xr:uid="{00000000-0005-0000-0000-000015000000}"/>
    <cellStyle name="60% - Accent2 2" xfId="22" xr:uid="{00000000-0005-0000-0000-000016000000}"/>
    <cellStyle name="60% - Accent3 2" xfId="23" xr:uid="{00000000-0005-0000-0000-000017000000}"/>
    <cellStyle name="60% - Accent4 2" xfId="24" xr:uid="{00000000-0005-0000-0000-000018000000}"/>
    <cellStyle name="60% - Accent5 2" xfId="25" xr:uid="{00000000-0005-0000-0000-000019000000}"/>
    <cellStyle name="60% - Accent6 2" xfId="26" xr:uid="{00000000-0005-0000-0000-00001A000000}"/>
    <cellStyle name="Accent1 2" xfId="27" xr:uid="{00000000-0005-0000-0000-00001B000000}"/>
    <cellStyle name="Accent2 2" xfId="28" xr:uid="{00000000-0005-0000-0000-00001C000000}"/>
    <cellStyle name="Accent3 2" xfId="29" xr:uid="{00000000-0005-0000-0000-00001D000000}"/>
    <cellStyle name="Accent4 2" xfId="30" xr:uid="{00000000-0005-0000-0000-00001E000000}"/>
    <cellStyle name="Accent5 2" xfId="31" xr:uid="{00000000-0005-0000-0000-00001F000000}"/>
    <cellStyle name="Accent6 2" xfId="32" xr:uid="{00000000-0005-0000-0000-000020000000}"/>
    <cellStyle name="Bad 2" xfId="33" xr:uid="{00000000-0005-0000-0000-000021000000}"/>
    <cellStyle name="Calculation 2" xfId="34" xr:uid="{00000000-0005-0000-0000-000022000000}"/>
    <cellStyle name="Check Cell 2" xfId="35" xr:uid="{00000000-0005-0000-0000-000023000000}"/>
    <cellStyle name="Comma 2" xfId="1" xr:uid="{00000000-0005-0000-0000-000001000000}"/>
    <cellStyle name="Currency 2" xfId="2" xr:uid="{00000000-0005-0000-0000-000002000000}"/>
    <cellStyle name="Currency 3" xfId="36" xr:uid="{00000000-0005-0000-0000-000024000000}"/>
    <cellStyle name="Explanatory Text 2" xfId="37" xr:uid="{00000000-0005-0000-0000-000025000000}"/>
    <cellStyle name="Good 2" xfId="38" xr:uid="{00000000-0005-0000-0000-000026000000}"/>
    <cellStyle name="Heading 1 2" xfId="39" xr:uid="{00000000-0005-0000-0000-000027000000}"/>
    <cellStyle name="Heading 2 2" xfId="40" xr:uid="{00000000-0005-0000-0000-000028000000}"/>
    <cellStyle name="Heading 3 2" xfId="41" xr:uid="{00000000-0005-0000-0000-000029000000}"/>
    <cellStyle name="Heading 4 2" xfId="42" xr:uid="{00000000-0005-0000-0000-00002A000000}"/>
    <cellStyle name="Hyperlink 2" xfId="3" xr:uid="{00000000-0005-0000-0000-000003000000}"/>
    <cellStyle name="Hyperlink 3" xfId="4" xr:uid="{00000000-0005-0000-0000-000004000000}"/>
    <cellStyle name="Input 2" xfId="43" xr:uid="{00000000-0005-0000-0000-00002B000000}"/>
    <cellStyle name="Linked Cell 2" xfId="44" xr:uid="{00000000-0005-0000-0000-00002C000000}"/>
    <cellStyle name="Neutral 2" xfId="45" xr:uid="{00000000-0005-0000-0000-00002D000000}"/>
    <cellStyle name="Normal" xfId="0" builtinId="0"/>
    <cellStyle name="Normal 2" xfId="5" xr:uid="{00000000-0005-0000-0000-000005000000}"/>
    <cellStyle name="Normal 2 2" xfId="46" xr:uid="{00000000-0005-0000-0000-00002E000000}"/>
    <cellStyle name="Normal 3" xfId="6" xr:uid="{00000000-0005-0000-0000-000006000000}"/>
    <cellStyle name="Normal 4" xfId="8" xr:uid="{00000000-0005-0000-0000-000008000000}"/>
    <cellStyle name="Normal_Xin SGP- Standard Forms final" xfId="7" xr:uid="{00000000-0005-0000-0000-000007000000}"/>
    <cellStyle name="Note 2" xfId="47" xr:uid="{00000000-0005-0000-0000-00002F000000}"/>
    <cellStyle name="Output 2" xfId="48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view="pageBreakPreview" topLeftCell="A30" zoomScaleNormal="100" zoomScaleSheetLayoutView="100" workbookViewId="0">
      <selection activeCell="D50" sqref="D50"/>
    </sheetView>
  </sheetViews>
  <sheetFormatPr defaultColWidth="8.7109375" defaultRowHeight="12.45" x14ac:dyDescent="0.35"/>
  <cols>
    <col min="1" max="1" width="5.28515625" style="2" customWidth="1"/>
    <col min="2" max="3" width="20.92578125" style="2" customWidth="1"/>
    <col min="4" max="4" width="38.5703125" style="2" customWidth="1"/>
    <col min="5" max="5" width="25.28515625" style="2" customWidth="1"/>
    <col min="6" max="6" width="8.0703125" style="2" customWidth="1"/>
    <col min="7" max="7" width="19.7109375" style="2" bestFit="1" customWidth="1"/>
    <col min="8" max="8" width="18.5703125" style="2" customWidth="1"/>
    <col min="9" max="9" width="13" style="2" customWidth="1"/>
    <col min="10" max="11" width="13.28515625" style="2" customWidth="1"/>
    <col min="12" max="12" width="8.7109375" style="2" customWidth="1"/>
    <col min="13" max="16384" width="8.7109375" style="2"/>
  </cols>
  <sheetData>
    <row r="1" spans="1:11" ht="15.75" customHeight="1" x14ac:dyDescent="0.35">
      <c r="A1" s="58" t="s">
        <v>0</v>
      </c>
      <c r="B1" s="47"/>
      <c r="C1" s="47"/>
      <c r="D1" s="47"/>
      <c r="E1" s="47"/>
      <c r="F1" s="47"/>
      <c r="G1" s="47"/>
      <c r="H1" s="47"/>
      <c r="I1" s="4"/>
      <c r="J1" s="4"/>
      <c r="K1" s="3"/>
    </row>
    <row r="2" spans="1:11" ht="15.75" customHeight="1" x14ac:dyDescent="0.35">
      <c r="A2" s="47"/>
      <c r="B2" s="47"/>
      <c r="C2" s="47"/>
      <c r="D2" s="47"/>
      <c r="E2" s="47"/>
      <c r="F2" s="47"/>
      <c r="G2" s="47"/>
      <c r="H2" s="47"/>
      <c r="I2" s="4"/>
      <c r="J2" s="4"/>
      <c r="K2" s="3"/>
    </row>
    <row r="3" spans="1:11" ht="15.75" customHeight="1" x14ac:dyDescent="0.35">
      <c r="A3" s="10"/>
      <c r="B3" s="10"/>
      <c r="C3" s="10"/>
      <c r="D3" s="11"/>
      <c r="E3" s="11"/>
      <c r="F3" s="11"/>
      <c r="G3" s="11"/>
      <c r="H3" s="11"/>
      <c r="I3" s="5"/>
      <c r="J3" s="9"/>
      <c r="K3" s="9"/>
    </row>
    <row r="4" spans="1:11" ht="15.75" customHeight="1" x14ac:dyDescent="0.35">
      <c r="A4" s="13" t="s">
        <v>1</v>
      </c>
      <c r="B4" s="13"/>
      <c r="C4" s="43"/>
      <c r="D4" s="47"/>
      <c r="E4" s="13" t="s">
        <v>2</v>
      </c>
      <c r="F4" s="25" t="s">
        <v>3</v>
      </c>
      <c r="G4" s="12" t="s">
        <v>4</v>
      </c>
      <c r="H4" s="12"/>
      <c r="I4" s="6"/>
      <c r="J4" s="6"/>
      <c r="K4" s="6"/>
    </row>
    <row r="5" spans="1:11" ht="15.75" customHeight="1" x14ac:dyDescent="0.35">
      <c r="A5" s="13" t="s">
        <v>5</v>
      </c>
      <c r="B5" s="13"/>
      <c r="C5" s="46" t="s">
        <v>6</v>
      </c>
      <c r="D5" s="47"/>
      <c r="E5" s="13" t="s">
        <v>7</v>
      </c>
      <c r="F5" s="25" t="s">
        <v>3</v>
      </c>
      <c r="G5" s="34">
        <v>46111</v>
      </c>
      <c r="H5" s="34"/>
      <c r="I5" s="7"/>
      <c r="J5" s="7"/>
      <c r="K5" s="7"/>
    </row>
    <row r="6" spans="1:11" s="1" customFormat="1" ht="15.75" customHeight="1" x14ac:dyDescent="0.35">
      <c r="A6" s="13" t="s">
        <v>8</v>
      </c>
      <c r="B6" s="13"/>
      <c r="C6" s="43" t="s">
        <v>9</v>
      </c>
      <c r="D6" s="44"/>
      <c r="E6" s="13" t="s">
        <v>10</v>
      </c>
      <c r="F6" s="25" t="s">
        <v>3</v>
      </c>
      <c r="G6" s="12" t="s">
        <v>11</v>
      </c>
      <c r="H6" s="12"/>
      <c r="I6" s="45"/>
      <c r="J6" s="44"/>
      <c r="K6" s="6"/>
    </row>
    <row r="7" spans="1:11" s="1" customFormat="1" ht="15.75" customHeight="1" x14ac:dyDescent="0.35">
      <c r="A7" s="13" t="s">
        <v>12</v>
      </c>
      <c r="B7" s="13"/>
      <c r="C7" s="43" t="s">
        <v>13</v>
      </c>
      <c r="D7" s="44"/>
      <c r="E7" s="13" t="s">
        <v>14</v>
      </c>
      <c r="F7" s="25" t="s">
        <v>3</v>
      </c>
      <c r="G7" s="36">
        <f>SUM(H12:H37)/1.13</f>
        <v>1345.1327433628319</v>
      </c>
      <c r="H7" s="35"/>
      <c r="I7" s="45"/>
      <c r="J7" s="44"/>
      <c r="K7" s="6"/>
    </row>
    <row r="8" spans="1:11" s="1" customFormat="1" ht="15.75" customHeight="1" x14ac:dyDescent="0.35">
      <c r="A8" s="13" t="s">
        <v>15</v>
      </c>
      <c r="B8" s="13"/>
      <c r="C8" s="43" t="s">
        <v>16</v>
      </c>
      <c r="D8" s="44"/>
      <c r="E8" s="13" t="s">
        <v>17</v>
      </c>
      <c r="F8" s="25" t="s">
        <v>3</v>
      </c>
      <c r="G8" s="36">
        <f>G7*0.13</f>
        <v>174.86725663716814</v>
      </c>
      <c r="H8" s="36"/>
      <c r="I8" s="6"/>
      <c r="J8" s="6"/>
      <c r="K8" s="6"/>
    </row>
    <row r="9" spans="1:11" s="1" customFormat="1" ht="15.75" customHeight="1" x14ac:dyDescent="0.35">
      <c r="A9" s="13" t="s">
        <v>18</v>
      </c>
      <c r="B9" s="28"/>
      <c r="C9" s="43" t="s">
        <v>19</v>
      </c>
      <c r="D9" s="44"/>
      <c r="E9" s="13" t="s">
        <v>20</v>
      </c>
      <c r="F9" s="25" t="s">
        <v>3</v>
      </c>
      <c r="G9" s="36">
        <f>SUM(G7:G8)</f>
        <v>1520</v>
      </c>
      <c r="H9" s="36"/>
      <c r="I9" s="6"/>
      <c r="J9" s="6"/>
      <c r="K9" s="6"/>
    </row>
    <row r="10" spans="1:11" ht="15.75" customHeight="1" x14ac:dyDescent="0.35">
      <c r="A10" s="10"/>
      <c r="B10" s="10"/>
      <c r="C10" s="10"/>
      <c r="D10" s="10"/>
      <c r="E10" s="10"/>
      <c r="F10" s="10"/>
      <c r="G10" s="10"/>
      <c r="H10" s="10"/>
    </row>
    <row r="11" spans="1:11" ht="15.65" customHeight="1" x14ac:dyDescent="0.35">
      <c r="A11" s="14" t="s">
        <v>21</v>
      </c>
      <c r="B11" s="14" t="s">
        <v>22</v>
      </c>
      <c r="C11" s="56" t="s">
        <v>23</v>
      </c>
      <c r="D11" s="57"/>
      <c r="E11" s="22" t="s">
        <v>24</v>
      </c>
      <c r="F11" s="14" t="s">
        <v>25</v>
      </c>
      <c r="G11" s="14" t="s">
        <v>26</v>
      </c>
      <c r="H11" s="14" t="s">
        <v>20</v>
      </c>
      <c r="I11" s="8"/>
      <c r="J11" s="8"/>
    </row>
    <row r="12" spans="1:11" s="1" customFormat="1" ht="15" customHeight="1" x14ac:dyDescent="0.35">
      <c r="A12" s="16">
        <v>1</v>
      </c>
      <c r="B12" s="27" t="s">
        <v>27</v>
      </c>
      <c r="C12" s="39" t="s">
        <v>28</v>
      </c>
      <c r="D12" s="40"/>
      <c r="E12" s="23">
        <v>19</v>
      </c>
      <c r="F12" s="15" t="s">
        <v>21</v>
      </c>
      <c r="G12" s="38">
        <v>80</v>
      </c>
      <c r="H12" s="38">
        <f t="shared" ref="H12:H21" si="0">E12*G12</f>
        <v>1520</v>
      </c>
      <c r="I12" s="8"/>
      <c r="J12" s="8"/>
      <c r="K12" s="8"/>
    </row>
    <row r="13" spans="1:11" s="1" customFormat="1" ht="15" customHeight="1" x14ac:dyDescent="0.35">
      <c r="A13" s="16">
        <f t="shared" ref="A13:A21" si="1">A12+1</f>
        <v>2</v>
      </c>
      <c r="B13" s="27"/>
      <c r="C13" s="39"/>
      <c r="D13" s="40"/>
      <c r="E13" s="23"/>
      <c r="F13" s="15"/>
      <c r="G13" s="38"/>
      <c r="H13" s="38">
        <f t="shared" si="0"/>
        <v>0</v>
      </c>
      <c r="I13" s="8"/>
      <c r="J13" s="8"/>
      <c r="K13" s="8"/>
    </row>
    <row r="14" spans="1:11" s="1" customFormat="1" ht="15" customHeight="1" x14ac:dyDescent="0.35">
      <c r="A14" s="16">
        <f t="shared" si="1"/>
        <v>3</v>
      </c>
      <c r="B14" s="27"/>
      <c r="C14" s="39"/>
      <c r="D14" s="40"/>
      <c r="E14" s="23"/>
      <c r="F14" s="15"/>
      <c r="G14" s="38"/>
      <c r="H14" s="38">
        <f t="shared" si="0"/>
        <v>0</v>
      </c>
      <c r="I14" s="8"/>
      <c r="J14" s="8"/>
      <c r="K14" s="8"/>
    </row>
    <row r="15" spans="1:11" s="1" customFormat="1" ht="15" customHeight="1" x14ac:dyDescent="0.35">
      <c r="A15" s="16">
        <f t="shared" si="1"/>
        <v>4</v>
      </c>
      <c r="B15" s="27"/>
      <c r="C15" s="39"/>
      <c r="D15" s="40"/>
      <c r="E15" s="23"/>
      <c r="F15" s="15"/>
      <c r="G15" s="38"/>
      <c r="H15" s="38">
        <f t="shared" si="0"/>
        <v>0</v>
      </c>
      <c r="I15" s="8"/>
      <c r="J15" s="8"/>
      <c r="K15" s="8"/>
    </row>
    <row r="16" spans="1:11" s="1" customFormat="1" ht="15" customHeight="1" x14ac:dyDescent="0.35">
      <c r="A16" s="16">
        <f t="shared" si="1"/>
        <v>5</v>
      </c>
      <c r="B16" s="27"/>
      <c r="C16" s="39"/>
      <c r="D16" s="40"/>
      <c r="E16" s="23"/>
      <c r="F16" s="15"/>
      <c r="G16" s="38"/>
      <c r="H16" s="38">
        <f t="shared" si="0"/>
        <v>0</v>
      </c>
      <c r="I16" s="8"/>
      <c r="J16" s="8"/>
      <c r="K16" s="8"/>
    </row>
    <row r="17" spans="1:11" s="1" customFormat="1" ht="15" customHeight="1" x14ac:dyDescent="0.35">
      <c r="A17" s="16">
        <f t="shared" si="1"/>
        <v>6</v>
      </c>
      <c r="B17" s="27"/>
      <c r="C17" s="39"/>
      <c r="D17" s="40"/>
      <c r="E17" s="23"/>
      <c r="F17" s="15"/>
      <c r="G17" s="38"/>
      <c r="H17" s="38">
        <f t="shared" si="0"/>
        <v>0</v>
      </c>
      <c r="I17" s="8"/>
      <c r="J17" s="8"/>
      <c r="K17" s="8"/>
    </row>
    <row r="18" spans="1:11" s="1" customFormat="1" ht="15" customHeight="1" x14ac:dyDescent="0.35">
      <c r="A18" s="16">
        <f t="shared" si="1"/>
        <v>7</v>
      </c>
      <c r="B18" s="27"/>
      <c r="C18" s="39"/>
      <c r="D18" s="40"/>
      <c r="E18" s="23"/>
      <c r="F18" s="15"/>
      <c r="G18" s="38"/>
      <c r="H18" s="38">
        <f t="shared" si="0"/>
        <v>0</v>
      </c>
      <c r="I18" s="8"/>
      <c r="J18" s="8"/>
      <c r="K18" s="8"/>
    </row>
    <row r="19" spans="1:11" s="1" customFormat="1" ht="15" customHeight="1" x14ac:dyDescent="0.35">
      <c r="A19" s="16">
        <f t="shared" si="1"/>
        <v>8</v>
      </c>
      <c r="B19" s="27"/>
      <c r="C19" s="39"/>
      <c r="D19" s="40"/>
      <c r="E19" s="23"/>
      <c r="F19" s="15"/>
      <c r="G19" s="38"/>
      <c r="H19" s="38">
        <f t="shared" si="0"/>
        <v>0</v>
      </c>
      <c r="I19" s="8"/>
      <c r="J19" s="8"/>
      <c r="K19" s="8"/>
    </row>
    <row r="20" spans="1:11" s="1" customFormat="1" ht="15" customHeight="1" x14ac:dyDescent="0.35">
      <c r="A20" s="16">
        <f t="shared" si="1"/>
        <v>9</v>
      </c>
      <c r="B20" s="27"/>
      <c r="C20" s="39"/>
      <c r="D20" s="40"/>
      <c r="E20" s="23"/>
      <c r="F20" s="15"/>
      <c r="G20" s="38"/>
      <c r="H20" s="38">
        <f t="shared" si="0"/>
        <v>0</v>
      </c>
      <c r="I20" s="8"/>
      <c r="J20" s="8"/>
      <c r="K20" s="8"/>
    </row>
    <row r="21" spans="1:11" s="1" customFormat="1" ht="15" customHeight="1" x14ac:dyDescent="0.35">
      <c r="A21" s="16">
        <f t="shared" si="1"/>
        <v>10</v>
      </c>
      <c r="B21" s="27"/>
      <c r="C21" s="39"/>
      <c r="D21" s="40"/>
      <c r="E21" s="23"/>
      <c r="F21" s="15"/>
      <c r="G21" s="38"/>
      <c r="H21" s="38">
        <f t="shared" si="0"/>
        <v>0</v>
      </c>
      <c r="I21" s="8"/>
      <c r="J21" s="8"/>
      <c r="K21" s="8"/>
    </row>
    <row r="22" spans="1:11" s="1" customFormat="1" ht="15" customHeight="1" x14ac:dyDescent="0.35">
      <c r="A22" s="16"/>
      <c r="B22" s="27"/>
      <c r="C22" s="39"/>
      <c r="D22" s="40"/>
      <c r="E22" s="23"/>
      <c r="F22" s="15"/>
      <c r="G22" s="38"/>
      <c r="H22" s="38"/>
      <c r="I22" s="8"/>
      <c r="J22" s="8"/>
      <c r="K22" s="8"/>
    </row>
    <row r="23" spans="1:11" s="1" customFormat="1" ht="15" customHeight="1" x14ac:dyDescent="0.35">
      <c r="A23" s="16"/>
      <c r="B23" s="27"/>
      <c r="C23" s="39"/>
      <c r="D23" s="40"/>
      <c r="E23" s="23"/>
      <c r="F23" s="15"/>
      <c r="G23" s="38"/>
      <c r="H23" s="38"/>
      <c r="I23" s="8"/>
      <c r="J23" s="8"/>
      <c r="K23" s="8"/>
    </row>
    <row r="24" spans="1:11" s="1" customFormat="1" ht="15" customHeight="1" x14ac:dyDescent="0.35">
      <c r="A24" s="16"/>
      <c r="B24" s="27"/>
      <c r="C24" s="39"/>
      <c r="D24" s="40"/>
      <c r="E24" s="23"/>
      <c r="F24" s="15"/>
      <c r="G24" s="38"/>
      <c r="H24" s="38"/>
      <c r="I24" s="8"/>
      <c r="J24" s="8"/>
      <c r="K24" s="8"/>
    </row>
    <row r="25" spans="1:11" s="1" customFormat="1" ht="15" customHeight="1" x14ac:dyDescent="0.35">
      <c r="A25" s="16"/>
      <c r="B25" s="27"/>
      <c r="C25" s="39"/>
      <c r="D25" s="40"/>
      <c r="E25" s="23"/>
      <c r="F25" s="15"/>
      <c r="G25" s="38"/>
      <c r="H25" s="38"/>
      <c r="I25" s="8"/>
      <c r="J25" s="8"/>
      <c r="K25" s="8"/>
    </row>
    <row r="26" spans="1:11" s="1" customFormat="1" ht="15" customHeight="1" x14ac:dyDescent="0.35">
      <c r="A26" s="16"/>
      <c r="B26" s="27"/>
      <c r="C26" s="39"/>
      <c r="D26" s="40"/>
      <c r="E26" s="23"/>
      <c r="F26" s="15"/>
      <c r="G26" s="38"/>
      <c r="H26" s="38"/>
      <c r="I26" s="8"/>
      <c r="J26" s="8"/>
      <c r="K26" s="8"/>
    </row>
    <row r="27" spans="1:11" s="1" customFormat="1" ht="15" customHeight="1" x14ac:dyDescent="0.35">
      <c r="A27" s="16"/>
      <c r="B27" s="27"/>
      <c r="C27" s="39"/>
      <c r="D27" s="40"/>
      <c r="E27" s="23"/>
      <c r="F27" s="15"/>
      <c r="G27" s="38"/>
      <c r="H27" s="38"/>
      <c r="I27" s="8"/>
      <c r="J27" s="8"/>
      <c r="K27" s="8"/>
    </row>
    <row r="28" spans="1:11" s="1" customFormat="1" ht="15" customHeight="1" x14ac:dyDescent="0.35">
      <c r="A28" s="16"/>
      <c r="B28" s="27"/>
      <c r="C28" s="39"/>
      <c r="D28" s="40"/>
      <c r="E28" s="23"/>
      <c r="F28" s="15"/>
      <c r="G28" s="38"/>
      <c r="H28" s="38"/>
      <c r="I28" s="8"/>
      <c r="J28" s="8"/>
      <c r="K28" s="8"/>
    </row>
    <row r="29" spans="1:11" s="1" customFormat="1" ht="15" customHeight="1" x14ac:dyDescent="0.35">
      <c r="A29" s="16"/>
      <c r="B29" s="27"/>
      <c r="C29" s="39"/>
      <c r="D29" s="40"/>
      <c r="E29" s="23"/>
      <c r="F29" s="15"/>
      <c r="G29" s="38"/>
      <c r="H29" s="38"/>
      <c r="I29" s="8"/>
      <c r="J29" s="8"/>
      <c r="K29" s="8"/>
    </row>
    <row r="30" spans="1:11" s="1" customFormat="1" ht="15" customHeight="1" x14ac:dyDescent="0.35">
      <c r="A30" s="16"/>
      <c r="B30" s="27"/>
      <c r="C30" s="39"/>
      <c r="D30" s="40"/>
      <c r="E30" s="23"/>
      <c r="F30" s="15"/>
      <c r="G30" s="38"/>
      <c r="H30" s="38"/>
      <c r="I30" s="8"/>
      <c r="J30" s="8"/>
      <c r="K30" s="8"/>
    </row>
    <row r="31" spans="1:11" s="1" customFormat="1" ht="15" customHeight="1" x14ac:dyDescent="0.35">
      <c r="A31" s="16"/>
      <c r="B31" s="27"/>
      <c r="C31" s="39"/>
      <c r="D31" s="40"/>
      <c r="E31" s="23"/>
      <c r="F31" s="15"/>
      <c r="G31" s="38"/>
      <c r="H31" s="38"/>
      <c r="I31" s="8"/>
      <c r="J31" s="8"/>
      <c r="K31" s="8"/>
    </row>
    <row r="32" spans="1:11" s="1" customFormat="1" ht="15" customHeight="1" x14ac:dyDescent="0.35">
      <c r="A32" s="16"/>
      <c r="B32" s="27"/>
      <c r="C32" s="39"/>
      <c r="D32" s="40"/>
      <c r="E32" s="23"/>
      <c r="F32" s="15"/>
      <c r="G32" s="38"/>
      <c r="H32" s="38"/>
      <c r="I32" s="8"/>
      <c r="J32" s="8"/>
      <c r="K32" s="8"/>
    </row>
    <row r="33" spans="1:11" s="1" customFormat="1" ht="15" customHeight="1" x14ac:dyDescent="0.35">
      <c r="A33" s="16"/>
      <c r="B33" s="27"/>
      <c r="C33" s="39"/>
      <c r="D33" s="40"/>
      <c r="E33" s="23"/>
      <c r="F33" s="15"/>
      <c r="G33" s="38"/>
      <c r="H33" s="38"/>
      <c r="I33" s="8"/>
      <c r="J33" s="8"/>
      <c r="K33" s="8"/>
    </row>
    <row r="34" spans="1:11" s="1" customFormat="1" ht="15" customHeight="1" x14ac:dyDescent="0.35">
      <c r="A34" s="16"/>
      <c r="B34" s="27"/>
      <c r="C34" s="39"/>
      <c r="D34" s="40"/>
      <c r="E34" s="23"/>
      <c r="F34" s="15"/>
      <c r="G34" s="38"/>
      <c r="H34" s="38"/>
      <c r="I34" s="8"/>
      <c r="J34" s="8"/>
      <c r="K34" s="8"/>
    </row>
    <row r="35" spans="1:11" s="1" customFormat="1" ht="15" customHeight="1" x14ac:dyDescent="0.35">
      <c r="A35" s="16"/>
      <c r="B35" s="27"/>
      <c r="C35" s="39"/>
      <c r="D35" s="40"/>
      <c r="E35" s="23"/>
      <c r="F35" s="15"/>
      <c r="G35" s="38"/>
      <c r="H35" s="38"/>
      <c r="I35" s="8"/>
      <c r="J35" s="8"/>
      <c r="K35" s="8"/>
    </row>
    <row r="36" spans="1:11" s="1" customFormat="1" ht="15" customHeight="1" x14ac:dyDescent="0.35">
      <c r="A36" s="16"/>
      <c r="B36" s="27"/>
      <c r="C36" s="39"/>
      <c r="D36" s="40"/>
      <c r="E36" s="23"/>
      <c r="F36" s="15"/>
      <c r="G36" s="38"/>
      <c r="H36" s="38"/>
      <c r="I36" s="8"/>
      <c r="J36" s="8"/>
      <c r="K36" s="8"/>
    </row>
    <row r="37" spans="1:11" ht="12.75" customHeight="1" x14ac:dyDescent="0.35">
      <c r="A37" s="20"/>
      <c r="B37" s="20"/>
      <c r="C37" s="62"/>
      <c r="D37" s="63"/>
      <c r="E37" s="24"/>
      <c r="F37" s="37"/>
      <c r="G37" s="21"/>
      <c r="H37" s="21"/>
      <c r="I37" s="8"/>
      <c r="J37" s="8"/>
      <c r="K37" s="8"/>
    </row>
    <row r="38" spans="1:11" ht="15.75" customHeight="1" x14ac:dyDescent="0.35">
      <c r="A38" s="17"/>
      <c r="B38" s="17"/>
      <c r="C38" s="17"/>
      <c r="D38" s="18"/>
      <c r="E38" s="19"/>
      <c r="F38" s="19"/>
      <c r="G38" s="19"/>
      <c r="H38" s="19"/>
      <c r="I38" s="8"/>
      <c r="J38" s="8"/>
      <c r="K38" s="8"/>
    </row>
    <row r="39" spans="1:11" ht="31.5" customHeight="1" x14ac:dyDescent="0.35">
      <c r="A39" s="53" t="s">
        <v>29</v>
      </c>
      <c r="B39" s="54"/>
      <c r="C39" s="54"/>
      <c r="D39" s="55"/>
      <c r="E39" s="29"/>
      <c r="F39" s="29"/>
      <c r="G39" s="29"/>
      <c r="H39" s="29"/>
    </row>
    <row r="40" spans="1:11" ht="15.75" customHeight="1" x14ac:dyDescent="0.35">
      <c r="A40" s="53" t="s">
        <v>30</v>
      </c>
      <c r="B40" s="54"/>
      <c r="C40" s="55"/>
      <c r="D40" s="33" t="s">
        <v>31</v>
      </c>
      <c r="E40" s="10"/>
      <c r="F40" s="26"/>
      <c r="G40" s="26"/>
      <c r="H40" s="26"/>
      <c r="I40" s="26"/>
    </row>
    <row r="41" spans="1:11" ht="15.75" customHeight="1" x14ac:dyDescent="0.35">
      <c r="A41" s="41" t="s">
        <v>32</v>
      </c>
      <c r="B41" s="42"/>
      <c r="C41" s="42"/>
      <c r="D41" s="30" t="s">
        <v>32</v>
      </c>
      <c r="E41" s="26"/>
      <c r="F41" s="26"/>
      <c r="G41" s="26"/>
      <c r="H41" s="26"/>
    </row>
    <row r="42" spans="1:11" ht="15.75" customHeight="1" x14ac:dyDescent="0.35">
      <c r="A42" s="48"/>
      <c r="B42" s="47"/>
      <c r="C42" s="49"/>
      <c r="D42" s="60"/>
      <c r="E42" s="26"/>
      <c r="F42" s="26"/>
      <c r="G42" s="26"/>
      <c r="H42" s="26"/>
    </row>
    <row r="43" spans="1:11" ht="15.75" customHeight="1" x14ac:dyDescent="0.35">
      <c r="A43" s="50"/>
      <c r="B43" s="47"/>
      <c r="C43" s="49"/>
      <c r="D43" s="61"/>
      <c r="E43" s="26"/>
      <c r="F43" s="26"/>
      <c r="G43" s="26"/>
      <c r="H43" s="26"/>
    </row>
    <row r="44" spans="1:11" ht="15.75" customHeight="1" x14ac:dyDescent="0.35">
      <c r="A44" s="50"/>
      <c r="B44" s="47"/>
      <c r="C44" s="49"/>
      <c r="D44" s="61"/>
      <c r="E44" s="26"/>
      <c r="F44" s="26"/>
      <c r="G44" s="26"/>
      <c r="H44" s="26"/>
    </row>
    <row r="45" spans="1:11" ht="15.75" customHeight="1" x14ac:dyDescent="0.35">
      <c r="A45" s="50"/>
      <c r="B45" s="47"/>
      <c r="C45" s="49"/>
      <c r="D45" s="61"/>
      <c r="E45" s="26"/>
      <c r="F45" s="26"/>
      <c r="G45" s="26"/>
      <c r="H45" s="26"/>
    </row>
    <row r="46" spans="1:11" ht="15.75" customHeight="1" x14ac:dyDescent="0.35">
      <c r="A46" s="50"/>
      <c r="B46" s="47"/>
      <c r="C46" s="49"/>
      <c r="D46" s="61"/>
      <c r="E46" s="26"/>
      <c r="F46" s="26"/>
      <c r="G46" s="26"/>
      <c r="H46" s="26"/>
    </row>
    <row r="47" spans="1:11" ht="15.75" customHeight="1" x14ac:dyDescent="0.35">
      <c r="A47" s="50"/>
      <c r="B47" s="47"/>
      <c r="C47" s="49"/>
      <c r="D47" s="61"/>
      <c r="E47" s="26"/>
      <c r="F47" s="26"/>
      <c r="G47" s="26"/>
      <c r="H47" s="26"/>
    </row>
    <row r="48" spans="1:11" ht="15.75" customHeight="1" x14ac:dyDescent="0.35">
      <c r="A48" s="59" t="s">
        <v>36</v>
      </c>
      <c r="B48" s="47"/>
      <c r="C48" s="47"/>
      <c r="D48" s="31" t="s">
        <v>33</v>
      </c>
      <c r="E48" s="26"/>
      <c r="F48" s="26"/>
      <c r="G48" s="26"/>
      <c r="H48" s="26"/>
    </row>
    <row r="49" spans="1:8" ht="15.75" customHeight="1" x14ac:dyDescent="0.35">
      <c r="A49" s="59" t="s">
        <v>37</v>
      </c>
      <c r="B49" s="47"/>
      <c r="C49" s="47"/>
      <c r="D49" s="31" t="s">
        <v>34</v>
      </c>
      <c r="E49" s="26"/>
      <c r="F49" s="26"/>
      <c r="G49" s="26"/>
      <c r="H49" s="26"/>
    </row>
    <row r="50" spans="1:8" ht="15.75" customHeight="1" x14ac:dyDescent="0.35">
      <c r="A50" s="51" t="s">
        <v>38</v>
      </c>
      <c r="B50" s="52"/>
      <c r="C50" s="52"/>
      <c r="D50" s="32" t="s">
        <v>35</v>
      </c>
      <c r="E50" s="26"/>
      <c r="F50" s="26"/>
      <c r="G50" s="26"/>
      <c r="H50" s="26"/>
    </row>
    <row r="51" spans="1:8" ht="15.75" customHeight="1" x14ac:dyDescent="0.35">
      <c r="A51" s="26"/>
      <c r="B51" s="26"/>
      <c r="C51" s="26"/>
      <c r="D51" s="26"/>
      <c r="E51" s="26"/>
      <c r="F51" s="26"/>
      <c r="G51" s="26"/>
      <c r="H51" s="26"/>
    </row>
  </sheetData>
  <mergeCells count="44">
    <mergeCell ref="A1:H2"/>
    <mergeCell ref="A48:C48"/>
    <mergeCell ref="C23:D23"/>
    <mergeCell ref="C17:D17"/>
    <mergeCell ref="C8:D8"/>
    <mergeCell ref="D42:D47"/>
    <mergeCell ref="C7:D7"/>
    <mergeCell ref="C32:D32"/>
    <mergeCell ref="C19:D19"/>
    <mergeCell ref="C37:D37"/>
    <mergeCell ref="C28:D28"/>
    <mergeCell ref="C13:D13"/>
    <mergeCell ref="C18:D18"/>
    <mergeCell ref="C4:D4"/>
    <mergeCell ref="C20:D20"/>
    <mergeCell ref="C29:D29"/>
    <mergeCell ref="C16:D16"/>
    <mergeCell ref="I7:J7"/>
    <mergeCell ref="C25:D25"/>
    <mergeCell ref="C22:D22"/>
    <mergeCell ref="C9:D9"/>
    <mergeCell ref="C12:D12"/>
    <mergeCell ref="C21:D21"/>
    <mergeCell ref="C11:D11"/>
    <mergeCell ref="C27:D27"/>
    <mergeCell ref="C5:D5"/>
    <mergeCell ref="A42:C47"/>
    <mergeCell ref="C14:D14"/>
    <mergeCell ref="A50:C50"/>
    <mergeCell ref="C26:D26"/>
    <mergeCell ref="C35:D35"/>
    <mergeCell ref="A39:D39"/>
    <mergeCell ref="C31:D31"/>
    <mergeCell ref="A40:C40"/>
    <mergeCell ref="C36:D36"/>
    <mergeCell ref="A49:C49"/>
    <mergeCell ref="C34:D34"/>
    <mergeCell ref="A41:C41"/>
    <mergeCell ref="C6:D6"/>
    <mergeCell ref="C24:D24"/>
    <mergeCell ref="I6:J6"/>
    <mergeCell ref="C30:D30"/>
    <mergeCell ref="C15:D15"/>
    <mergeCell ref="C33:D33"/>
  </mergeCells>
  <phoneticPr fontId="33" type="noConversion"/>
  <pageMargins left="0.51181102362204722" right="0.51181102362204722" top="0.86614173228346458" bottom="0.70866141732283472" header="0.31496062992125978" footer="0.31496062992125978"/>
  <pageSetup paperSize="9" scale="54" orientation="portrait" r:id="rId1"/>
  <headerFooter>
    <oddHeader>&amp;L&amp;G</oddHeader>
    <oddFooter>&amp;C&amp;12 Tendo Technology (Shanghai) Co., Ltd.
Building B, Unit 206, No. 135 Yanping Road, Jingan District, Shanghai
腾都创迎（上海）科技有限公司
上海市静安区延平路135号B座206室&amp;R&amp;12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Material Requisition</vt:lpstr>
      <vt:lpstr>'Material Requisition'!Print_Area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luuut</dc:creator>
  <cp:lastModifiedBy>Cailleach Zou</cp:lastModifiedBy>
  <cp:revision>3</cp:revision>
  <cp:lastPrinted>2026-04-07T07:16:05Z</cp:lastPrinted>
  <dcterms:created xsi:type="dcterms:W3CDTF">2015-04-22T16:21:00Z</dcterms:created>
  <dcterms:modified xsi:type="dcterms:W3CDTF">2026-07-22T08:09:21Z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3F600BB164EA42328B01B5FDB2301817_13</vt:lpwstr>
  </property>
  <property fmtid="{D5CDD505-2E9C-101B-9397-08002B2CF9AE}" pid="3" name="KSOProductBuildVer">
    <vt:lpwstr>2052-12.1.0.18912</vt:lpwstr>
  </property>
</Properties>
</file>