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terial Requisition" sheetId="1" state="visible" r:id="rId1"/>
  </sheets>
  <definedNames>
    <definedName name="_xlnm.Print_Area" localSheetId="0">'Material Requisition'!$A$1:$H$51</definedName>
  </definedNames>
  <calcPr calcId="191029" fullCalcOnLoad="1" concurrentManualCount="8"/>
</workbook>
</file>

<file path=xl/styles.xml><?xml version="1.0" encoding="utf-8"?>
<styleSheet xmlns="http://schemas.openxmlformats.org/spreadsheetml/2006/main">
  <numFmts count="5">
    <numFmt numFmtId="164" formatCode="[$-14809]d\ mmmm\,\ yyyy;@"/>
    <numFmt numFmtId="165" formatCode="_ [$¥-804]* #,##0.00_ ;_ [$¥-804]* \-#,##0.00_ ;_ [$¥-804]* &quot;-&quot;??_ ;_ @_ "/>
    <numFmt numFmtId="166" formatCode="_ [$¥-804]* #,##0_ ;_ [$¥-804]* \-#,##0_ ;_ [$¥-804]* &quot;-&quot;_ ;_ @_ "/>
    <numFmt numFmtId="167" formatCode="_(&quot;$&quot;* #,##0.00_);_(&quot;$&quot;* \(#,##0.00\);_(&quot;$&quot;* &quot;-&quot;??_);_(@_)"/>
    <numFmt numFmtId="168" formatCode="_-&quot;$&quot;* #,##0.00_-;\-&quot;$&quot;* #,##0.00_-;_-&quot;$&quot;* &quot;-&quot;??_-;_-@_-"/>
  </numFmts>
  <fonts count="38">
    <font>
      <name val="Arial"/>
      <charset val="134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sz val="10"/>
      <scheme val="minor"/>
    </font>
    <font>
      <name val="Arial"/>
      <family val="2"/>
      <color theme="10"/>
      <sz val="11"/>
      <u val="single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Arial"/>
      <family val="2"/>
      <color indexed="4"/>
      <sz val="10"/>
      <u val="single"/>
    </font>
    <font>
      <name val="Arial"/>
      <family val="2"/>
      <sz val="10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8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sz val="12"/>
      <scheme val="minor"/>
    </font>
    <font>
      <name val="Arial"/>
      <family val="2"/>
      <b val="1"/>
      <sz val="12"/>
      <scheme val="minor"/>
    </font>
    <font>
      <name val="Arial"/>
      <family val="2"/>
      <i val="1"/>
      <color theme="1"/>
      <sz val="12"/>
      <scheme val="minor"/>
    </font>
    <font>
      <name val="Arial"/>
      <family val="2"/>
      <color rgb="FFFFFFFF"/>
      <sz val="12"/>
      <scheme val="minor"/>
    </font>
    <font>
      <name val="Calibri"/>
      <family val="2"/>
      <color indexed="52"/>
      <sz val="11"/>
    </font>
    <font>
      <name val="Calibri"/>
      <family val="2"/>
      <b val="1"/>
      <color indexed="56"/>
      <sz val="13"/>
    </font>
    <font>
      <name val="Cambria"/>
      <family val="1"/>
      <b val="1"/>
      <color indexed="56"/>
      <sz val="18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11"/>
    </font>
    <font>
      <name val="Calibri"/>
      <family val="2"/>
      <b val="1"/>
      <color indexed="52"/>
      <sz val="11"/>
    </font>
    <font>
      <name val="Calibri"/>
      <family val="2"/>
      <color indexed="6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color indexed="10"/>
      <sz val="11"/>
    </font>
    <font>
      <name val="Calibri"/>
      <family val="2"/>
      <color indexed="17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56"/>
      <sz val="15"/>
    </font>
    <font>
      <name val="Arial"/>
      <family val="2"/>
      <sz val="9"/>
      <scheme val="minor"/>
    </font>
    <font>
      <name val="Arial"/>
      <family val="2"/>
      <color theme="1"/>
      <sz val="12"/>
      <scheme val="major"/>
    </font>
    <font>
      <name val="宋体"/>
      <charset val="134"/>
      <family val="2"/>
      <sz val="12"/>
    </font>
  </fonts>
  <fills count="2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52">
    <xf numFmtId="0" fontId="0" fillId="0" borderId="0"/>
    <xf numFmtId="43" fontId="9" fillId="0" borderId="0"/>
    <xf numFmtId="167" fontId="22" fillId="0" borderId="0"/>
    <xf numFmtId="0" fontId="8" fillId="0" borderId="0" applyAlignment="1">
      <alignment vertical="top"/>
    </xf>
    <xf numFmtId="0" fontId="5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7" borderId="0"/>
    <xf numFmtId="0" fontId="22" fillId="10" borderId="0"/>
    <xf numFmtId="0" fontId="22" fillId="13" borderId="0"/>
    <xf numFmtId="0" fontId="28" fillId="14" borderId="0"/>
    <xf numFmtId="0" fontId="28" fillId="11" borderId="0"/>
    <xf numFmtId="0" fontId="28" fillId="12" borderId="0"/>
    <xf numFmtId="0" fontId="28" fillId="15" borderId="0"/>
    <xf numFmtId="0" fontId="28" fillId="16" borderId="0"/>
    <xf numFmtId="0" fontId="28" fillId="17" borderId="0"/>
    <xf numFmtId="0" fontId="28" fillId="18" borderId="0"/>
    <xf numFmtId="0" fontId="28" fillId="19" borderId="0"/>
    <xf numFmtId="0" fontId="28" fillId="20" borderId="0"/>
    <xf numFmtId="0" fontId="28" fillId="15" borderId="0"/>
    <xf numFmtId="0" fontId="28" fillId="16" borderId="0"/>
    <xf numFmtId="0" fontId="28" fillId="21" borderId="0"/>
    <xf numFmtId="0" fontId="29" fillId="5" borderId="0"/>
    <xf numFmtId="0" fontId="24" fillId="22" borderId="21"/>
    <xf numFmtId="0" fontId="21" fillId="23" borderId="22"/>
    <xf numFmtId="168" fontId="9" fillId="0" borderId="0"/>
    <xf numFmtId="0" fontId="26" fillId="0" borderId="0"/>
    <xf numFmtId="0" fontId="31" fillId="6" borderId="0"/>
    <xf numFmtId="0" fontId="34" fillId="0" borderId="23"/>
    <xf numFmtId="0" fontId="19" fillId="0" borderId="24"/>
    <xf numFmtId="0" fontId="27" fillId="0" borderId="25"/>
    <xf numFmtId="0" fontId="27" fillId="0" borderId="0"/>
    <xf numFmtId="0" fontId="23" fillId="9" borderId="21"/>
    <xf numFmtId="0" fontId="18" fillId="0" borderId="26"/>
    <xf numFmtId="0" fontId="25" fillId="24" borderId="0"/>
    <xf numFmtId="0" fontId="22" fillId="0" borderId="0"/>
    <xf numFmtId="0" fontId="9" fillId="25" borderId="27"/>
    <xf numFmtId="0" fontId="32" fillId="22" borderId="28"/>
    <xf numFmtId="0" fontId="20" fillId="0" borderId="0"/>
    <xf numFmtId="0" fontId="33" fillId="0" borderId="29"/>
    <xf numFmtId="0" fontId="3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 indent="1"/>
    </xf>
    <xf numFmtId="3" fontId="4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3" fontId="14" fillId="0" borderId="3" applyAlignment="1" pivotButton="0" quotePrefix="0" xfId="0">
      <alignment horizontal="center" vertical="center" wrapText="1"/>
    </xf>
    <xf numFmtId="1" fontId="14" fillId="0" borderId="3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justify" vertical="center" wrapText="1"/>
    </xf>
    <xf numFmtId="0" fontId="16" fillId="0" borderId="8" applyAlignment="1" pivotButton="0" quotePrefix="0" xfId="0">
      <alignment horizontal="right" vertical="center"/>
    </xf>
    <xf numFmtId="0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3" fontId="14" fillId="0" borderId="4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7"/>
    <xf numFmtId="49" fontId="14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0" applyAlignment="1" pivotButton="0" quotePrefix="0" xfId="0">
      <alignment vertical="center" wrapText="1"/>
    </xf>
    <xf numFmtId="0" fontId="12" fillId="0" borderId="14" applyAlignment="1" pivotButton="0" quotePrefix="0" xfId="0">
      <alignment vertical="center" wrapText="1"/>
    </xf>
    <xf numFmtId="0" fontId="14" fillId="3" borderId="10" applyAlignment="1" pivotButton="0" quotePrefix="0" xfId="0">
      <alignment vertical="center" wrapText="1"/>
    </xf>
    <xf numFmtId="164" fontId="36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5" fontId="12" fillId="0" borderId="0" applyAlignment="1" pivotButton="0" quotePrefix="0" xfId="0">
      <alignment horizontal="left" vertical="center"/>
    </xf>
    <xf numFmtId="0" fontId="14" fillId="0" borderId="15" applyAlignment="1" pivotButton="0" quotePrefix="0" xfId="0">
      <alignment horizontal="center" vertical="center" wrapText="1"/>
    </xf>
    <xf numFmtId="166" fontId="14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4" fillId="3" borderId="10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2" fillId="0" borderId="0" applyAlignment="1" pivotButton="0" quotePrefix="1" xfId="0">
      <alignment horizontal="left" vertical="center"/>
    </xf>
    <xf numFmtId="164" fontId="36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0" fillId="0" borderId="30" pivotButton="0" quotePrefix="0" xfId="0"/>
    <xf numFmtId="0" fontId="14" fillId="0" borderId="3" applyAlignment="1" pivotButton="0" quotePrefix="0" xfId="0">
      <alignment horizontal="left" vertical="center" wrapText="1"/>
    </xf>
    <xf numFmtId="0" fontId="0" fillId="0" borderId="16" pivotButton="0" quotePrefix="0" xfId="0"/>
    <xf numFmtId="166" fontId="14" fillId="0" borderId="3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12" fillId="0" borderId="3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9" pivotButton="0" quotePrefix="0" xfId="0"/>
  </cellXfs>
  <cellStyles count="52">
    <cellStyle name="常规" xfId="0" builtinId="0"/>
    <cellStyle name="Comma 2" xfId="1"/>
    <cellStyle name="Currency 2" xfId="2"/>
    <cellStyle name="Hyperlink 2" xfId="3"/>
    <cellStyle name="Hyperlink 3" xfId="4"/>
    <cellStyle name="Normal 2" xfId="5"/>
    <cellStyle name="Normal 3" xfId="6"/>
    <cellStyle name="Normal_Xin SGP- Standard Forms final" xfId="7"/>
    <cellStyle name="Normal 4" xfId="8"/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urrency 3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Neutral 2" xfId="45"/>
    <cellStyle name="Normal 2 2" xfId="46"/>
    <cellStyle name="Note 2" xfId="47"/>
    <cellStyle name="Output 2" xfId="48"/>
    <cellStyle name="Title 2" xfId="49"/>
    <cellStyle name="Total 2" xfId="50"/>
    <cellStyle name="Warning Text 2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tabSelected="1" view="pageBreakPreview" zoomScaleNormal="100" zoomScaleSheetLayoutView="100" workbookViewId="0">
      <selection activeCell="G4" sqref="G4"/>
    </sheetView>
  </sheetViews>
  <sheetFormatPr baseColWidth="8" defaultColWidth="8.69921875" defaultRowHeight="13.2"/>
  <cols>
    <col width="5.296875" customWidth="1" style="2" min="1" max="1"/>
    <col width="20.8984375" customWidth="1" style="2" min="2" max="3"/>
    <col width="38.59765625" customWidth="1" style="2" min="4" max="4"/>
    <col width="25.296875" customWidth="1" style="2" min="5" max="5"/>
    <col width="8.09765625" customWidth="1" style="2" min="6" max="6"/>
    <col width="19.69921875" bestFit="1" customWidth="1" style="2" min="7" max="7"/>
    <col width="18.59765625" customWidth="1" style="2" min="8" max="8"/>
    <col width="13" customWidth="1" style="2" min="9" max="9"/>
    <col width="13.296875" customWidth="1" style="2" min="10" max="11"/>
    <col width="8.69921875" customWidth="1" style="2" min="12" max="16384"/>
  </cols>
  <sheetData>
    <row r="1" ht="15.75" customHeight="1">
      <c r="A1" s="44" t="inlineStr">
        <is>
          <t>Material Requisition</t>
        </is>
      </c>
      <c r="I1" s="4" t="n"/>
      <c r="J1" s="4" t="n"/>
      <c r="K1" s="3" t="n"/>
    </row>
    <row r="2" ht="15.75" customHeight="1">
      <c r="I2" s="4" t="n"/>
      <c r="J2" s="4" t="n"/>
      <c r="K2" s="3" t="n"/>
    </row>
    <row r="3" ht="15.75" customHeight="1">
      <c r="A3" s="10" t="n"/>
      <c r="B3" s="10" t="n"/>
      <c r="C3" s="10" t="n"/>
      <c r="D3" s="11" t="n"/>
      <c r="E3" s="11" t="n"/>
      <c r="F3" s="11" t="n"/>
      <c r="G3" s="11" t="n"/>
      <c r="H3" s="11" t="n"/>
      <c r="I3" s="5" t="n"/>
      <c r="J3" s="9" t="n"/>
      <c r="K3" s="9" t="n"/>
    </row>
    <row r="4" ht="15.75" customHeight="1">
      <c r="A4" s="13" t="inlineStr">
        <is>
          <t>Deliver To:</t>
        </is>
      </c>
      <c r="B4" s="13" t="n"/>
      <c r="C4" s="39" t="inlineStr"/>
      <c r="E4" s="13" t="inlineStr">
        <is>
          <t>Material Requisition No.</t>
        </is>
      </c>
      <c r="F4" s="25" t="inlineStr">
        <is>
          <t>:</t>
        </is>
      </c>
      <c r="G4" s="39" t="inlineStr">
        <is>
          <t>TCMR2607-00010</t>
        </is>
      </c>
      <c r="H4" s="39" t="n"/>
      <c r="I4" s="58" t="n"/>
      <c r="J4" s="58" t="n"/>
      <c r="K4" s="58" t="n"/>
    </row>
    <row r="5" ht="15.75" customHeight="1">
      <c r="A5" s="13" t="inlineStr">
        <is>
          <t>Company:</t>
        </is>
      </c>
      <c r="B5" s="13" t="n"/>
      <c r="C5" s="59" t="inlineStr">
        <is>
          <t>Cooley LLP Shanghai Representative Office</t>
        </is>
      </c>
      <c r="E5" s="13" t="inlineStr">
        <is>
          <t>Date</t>
        </is>
      </c>
      <c r="F5" s="25" t="inlineStr">
        <is>
          <t>:</t>
        </is>
      </c>
      <c r="G5" s="60" t="inlineStr">
        <is>
          <t>2026-07-22</t>
        </is>
      </c>
      <c r="H5" s="60" t="n"/>
      <c r="I5" s="7" t="n"/>
      <c r="J5" s="7" t="n"/>
      <c r="K5" s="7" t="n"/>
    </row>
    <row r="6" ht="15.75" customFormat="1" customHeight="1" s="1">
      <c r="A6" s="13" t="inlineStr">
        <is>
          <t>Address:</t>
        </is>
      </c>
      <c r="B6" s="13" t="n"/>
      <c r="C6" s="39" t="inlineStr">
        <is>
          <t>IFC - Tower 2 Level 35, Unit 3510, 8 Century Avenue, Pudong New Area, Shanghai, 200120</t>
        </is>
      </c>
      <c r="E6" s="13" t="inlineStr">
        <is>
          <t>Currency</t>
        </is>
      </c>
      <c r="F6" s="25" t="inlineStr">
        <is>
          <t>:</t>
        </is>
      </c>
      <c r="G6" s="39" t="inlineStr">
        <is>
          <t>CNY</t>
        </is>
      </c>
      <c r="H6" s="39" t="n"/>
      <c r="I6" s="58" t="n"/>
      <c r="K6" s="58" t="n"/>
    </row>
    <row r="7" ht="15.75" customFormat="1" customHeight="1" s="1">
      <c r="A7" s="13" t="inlineStr">
        <is>
          <t>Sales Order No.:</t>
        </is>
      </c>
      <c r="B7" s="13" t="n"/>
      <c r="C7" s="39" t="inlineStr">
        <is>
          <t>TCSO2607-00110</t>
        </is>
      </c>
      <c r="E7" s="13" t="inlineStr">
        <is>
          <t>Sub-Total Cost</t>
        </is>
      </c>
      <c r="F7" s="25" t="inlineStr">
        <is>
          <t>:</t>
        </is>
      </c>
      <c r="G7" s="61">
        <f>SUM(H12:H37)/1.13</f>
        <v/>
      </c>
      <c r="H7" s="62" t="n"/>
      <c r="I7" s="58" t="n"/>
      <c r="K7" s="58" t="n"/>
    </row>
    <row r="8" ht="15.75" customFormat="1" customHeight="1" s="1">
      <c r="A8" s="13" t="inlineStr">
        <is>
          <t>Sales Quotation No.:</t>
        </is>
      </c>
      <c r="B8" s="13" t="n"/>
      <c r="C8" s="39" t="inlineStr">
        <is>
          <t>TCSQ2607-00184R2</t>
        </is>
      </c>
      <c r="E8" s="13" t="inlineStr">
        <is>
          <t>Tax</t>
        </is>
      </c>
      <c r="F8" s="25" t="inlineStr">
        <is>
          <t>:</t>
        </is>
      </c>
      <c r="G8" s="61">
        <f>G7*0.13</f>
        <v/>
      </c>
      <c r="H8" s="61" t="n"/>
      <c r="I8" s="58" t="n"/>
      <c r="J8" s="58" t="n"/>
      <c r="K8" s="58" t="n"/>
    </row>
    <row r="9" ht="15.75" customFormat="1" customHeight="1" s="1">
      <c r="A9" s="13" t="inlineStr">
        <is>
          <t>Submitted By:</t>
        </is>
      </c>
      <c r="B9" s="28" t="n"/>
      <c r="C9" s="39" t="inlineStr">
        <is>
          <t>Liu Shi Hao</t>
        </is>
      </c>
      <c r="E9" s="13" t="inlineStr">
        <is>
          <t>Total Cost</t>
        </is>
      </c>
      <c r="F9" s="25" t="inlineStr">
        <is>
          <t>:</t>
        </is>
      </c>
      <c r="G9" s="61">
        <f>SUM(G7:G8)</f>
        <v/>
      </c>
      <c r="H9" s="61" t="n"/>
      <c r="I9" s="58" t="n"/>
      <c r="J9" s="58" t="n"/>
      <c r="K9" s="58" t="n"/>
    </row>
    <row r="10" ht="15.7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 ht="15.6" customHeight="1">
      <c r="A11" s="14" t="inlineStr">
        <is>
          <t>No.</t>
        </is>
      </c>
      <c r="B11" s="14" t="inlineStr">
        <is>
          <t>Part No.</t>
        </is>
      </c>
      <c r="C11" s="14" t="inlineStr">
        <is>
          <t>Description</t>
        </is>
      </c>
      <c r="D11" s="63" t="n"/>
      <c r="E11" s="42" t="inlineStr">
        <is>
          <t>Qty</t>
        </is>
      </c>
      <c r="F11" s="14" t="inlineStr">
        <is>
          <t>Unit</t>
        </is>
      </c>
      <c r="G11" s="14" t="inlineStr">
        <is>
          <t>Unit Cost</t>
        </is>
      </c>
      <c r="H11" s="14" t="inlineStr">
        <is>
          <t>Total Cost</t>
        </is>
      </c>
      <c r="I11" s="8" t="n"/>
      <c r="J11" s="8" t="n"/>
    </row>
    <row r="12" ht="15" customFormat="1" customHeight="1" s="1">
      <c r="A12" s="16" t="n">
        <v>1</v>
      </c>
      <c r="B12" s="27" t="inlineStr">
        <is>
          <t>760191940</t>
        </is>
      </c>
      <c r="C12" s="64" t="inlineStr">
        <is>
          <t>Faceplate 2-Port, White</t>
        </is>
      </c>
      <c r="D12" s="65" t="n"/>
      <c r="E12" s="23" t="n">
        <v>4</v>
      </c>
      <c r="F12" s="15" t="inlineStr">
        <is>
          <t>个</t>
        </is>
      </c>
      <c r="G12" s="66" t="n">
        <v>10</v>
      </c>
      <c r="H12" s="66">
        <f>E12*G12</f>
        <v/>
      </c>
      <c r="I12" s="8" t="n"/>
      <c r="J12" s="8" t="n"/>
      <c r="K12" s="8" t="n"/>
    </row>
    <row r="13" ht="15" customFormat="1" customHeight="1" s="1">
      <c r="A13" s="16">
        <f>A12+1</f>
        <v/>
      </c>
      <c r="B13" s="27" t="n"/>
      <c r="C13" s="64" t="n"/>
      <c r="D13" s="65" t="n"/>
      <c r="E13" s="23" t="n"/>
      <c r="F13" s="15" t="n"/>
      <c r="G13" s="66" t="n"/>
      <c r="H13" s="66">
        <f>E13*G13</f>
        <v/>
      </c>
      <c r="I13" s="8" t="n"/>
      <c r="J13" s="8" t="n"/>
      <c r="K13" s="8" t="n"/>
    </row>
    <row r="14" ht="15" customFormat="1" customHeight="1" s="1">
      <c r="A14" s="16">
        <f>A13+1</f>
        <v/>
      </c>
      <c r="B14" s="27" t="n"/>
      <c r="C14" s="64" t="n"/>
      <c r="D14" s="65" t="n"/>
      <c r="E14" s="23" t="n"/>
      <c r="F14" s="15" t="n"/>
      <c r="G14" s="66" t="n"/>
      <c r="H14" s="66">
        <f>E14*G14</f>
        <v/>
      </c>
      <c r="I14" s="8" t="n"/>
      <c r="J14" s="8" t="n"/>
      <c r="K14" s="8" t="n"/>
    </row>
    <row r="15" ht="15" customFormat="1" customHeight="1" s="1">
      <c r="A15" s="16">
        <f>A14+1</f>
        <v/>
      </c>
      <c r="B15" s="27" t="n"/>
      <c r="C15" s="64" t="n"/>
      <c r="D15" s="65" t="n"/>
      <c r="E15" s="23" t="n"/>
      <c r="F15" s="15" t="n"/>
      <c r="G15" s="66" t="n"/>
      <c r="H15" s="66">
        <f>E15*G15</f>
        <v/>
      </c>
      <c r="I15" s="8" t="n"/>
      <c r="J15" s="8" t="n"/>
      <c r="K15" s="8" t="n"/>
    </row>
    <row r="16" ht="15" customFormat="1" customHeight="1" s="1">
      <c r="A16" s="16">
        <f>A15+1</f>
        <v/>
      </c>
      <c r="B16" s="27" t="n"/>
      <c r="C16" s="64" t="n"/>
      <c r="D16" s="65" t="n"/>
      <c r="E16" s="23" t="n"/>
      <c r="F16" s="15" t="n"/>
      <c r="G16" s="66" t="n"/>
      <c r="H16" s="66">
        <f>E16*G16</f>
        <v/>
      </c>
      <c r="I16" s="8" t="n"/>
      <c r="J16" s="8" t="n"/>
      <c r="K16" s="8" t="n"/>
    </row>
    <row r="17" ht="15" customFormat="1" customHeight="1" s="1">
      <c r="A17" s="16">
        <f>A16+1</f>
        <v/>
      </c>
      <c r="B17" s="27" t="n"/>
      <c r="C17" s="64" t="n"/>
      <c r="D17" s="65" t="n"/>
      <c r="E17" s="23" t="n"/>
      <c r="F17" s="15" t="n"/>
      <c r="G17" s="66" t="n"/>
      <c r="H17" s="66">
        <f>E17*G17</f>
        <v/>
      </c>
      <c r="I17" s="8" t="n"/>
      <c r="J17" s="8" t="n"/>
      <c r="K17" s="8" t="n"/>
    </row>
    <row r="18" ht="15" customFormat="1" customHeight="1" s="1">
      <c r="A18" s="16">
        <f>A17+1</f>
        <v/>
      </c>
      <c r="B18" s="27" t="n"/>
      <c r="C18" s="64" t="n"/>
      <c r="D18" s="65" t="n"/>
      <c r="E18" s="23" t="n"/>
      <c r="F18" s="15" t="n"/>
      <c r="G18" s="66" t="n"/>
      <c r="H18" s="66">
        <f>E18*G18</f>
        <v/>
      </c>
      <c r="I18" s="8" t="n"/>
      <c r="J18" s="8" t="n"/>
      <c r="K18" s="8" t="n"/>
    </row>
    <row r="19" ht="15" customFormat="1" customHeight="1" s="1">
      <c r="A19" s="16">
        <f>A18+1</f>
        <v/>
      </c>
      <c r="B19" s="27" t="n"/>
      <c r="C19" s="64" t="n"/>
      <c r="D19" s="65" t="n"/>
      <c r="E19" s="23" t="n"/>
      <c r="F19" s="15" t="n"/>
      <c r="G19" s="66" t="n"/>
      <c r="H19" s="66">
        <f>E19*G19</f>
        <v/>
      </c>
      <c r="I19" s="8" t="n"/>
      <c r="J19" s="8" t="n"/>
      <c r="K19" s="8" t="n"/>
    </row>
    <row r="20" ht="15" customFormat="1" customHeight="1" s="1">
      <c r="A20" s="16">
        <f>A19+1</f>
        <v/>
      </c>
      <c r="B20" s="27" t="n"/>
      <c r="C20" s="64" t="n"/>
      <c r="D20" s="65" t="n"/>
      <c r="E20" s="23" t="n"/>
      <c r="F20" s="15" t="n"/>
      <c r="G20" s="66" t="n"/>
      <c r="H20" s="66">
        <f>E20*G20</f>
        <v/>
      </c>
      <c r="I20" s="8" t="n"/>
      <c r="J20" s="8" t="n"/>
      <c r="K20" s="8" t="n"/>
    </row>
    <row r="21" ht="15" customFormat="1" customHeight="1" s="1">
      <c r="A21" s="16">
        <f>A20+1</f>
        <v/>
      </c>
      <c r="B21" s="27" t="n"/>
      <c r="C21" s="64" t="n"/>
      <c r="D21" s="65" t="n"/>
      <c r="E21" s="23" t="n"/>
      <c r="F21" s="15" t="n"/>
      <c r="G21" s="66" t="n"/>
      <c r="H21" s="66">
        <f>E21*G21</f>
        <v/>
      </c>
      <c r="I21" s="8" t="n"/>
      <c r="J21" s="8" t="n"/>
      <c r="K21" s="8" t="n"/>
    </row>
    <row r="22" ht="15" customFormat="1" customHeight="1" s="1">
      <c r="A22" s="16" t="n"/>
      <c r="B22" s="27" t="n"/>
      <c r="C22" s="64" t="n"/>
      <c r="D22" s="65" t="n"/>
      <c r="E22" s="23" t="n"/>
      <c r="F22" s="15" t="n"/>
      <c r="G22" s="66" t="n"/>
      <c r="H22" s="66" t="n"/>
      <c r="I22" s="8" t="n"/>
      <c r="J22" s="8" t="n"/>
      <c r="K22" s="8" t="n"/>
    </row>
    <row r="23" ht="15" customFormat="1" customHeight="1" s="1">
      <c r="A23" s="16" t="n"/>
      <c r="B23" s="27" t="n"/>
      <c r="C23" s="64" t="n"/>
      <c r="D23" s="65" t="n"/>
      <c r="E23" s="23" t="n"/>
      <c r="F23" s="15" t="n"/>
      <c r="G23" s="66" t="n"/>
      <c r="H23" s="66" t="n"/>
      <c r="I23" s="8" t="n"/>
      <c r="J23" s="8" t="n"/>
      <c r="K23" s="8" t="n"/>
    </row>
    <row r="24" ht="15" customFormat="1" customHeight="1" s="1">
      <c r="A24" s="16" t="n"/>
      <c r="B24" s="27" t="n"/>
      <c r="C24" s="64" t="n"/>
      <c r="D24" s="65" t="n"/>
      <c r="E24" s="23" t="n"/>
      <c r="F24" s="15" t="n"/>
      <c r="G24" s="66" t="n"/>
      <c r="H24" s="66" t="n"/>
      <c r="I24" s="8" t="n"/>
      <c r="J24" s="8" t="n"/>
      <c r="K24" s="8" t="n"/>
    </row>
    <row r="25" ht="15" customFormat="1" customHeight="1" s="1">
      <c r="A25" s="16" t="n"/>
      <c r="B25" s="27" t="n"/>
      <c r="C25" s="64" t="n"/>
      <c r="D25" s="65" t="n"/>
      <c r="E25" s="23" t="n"/>
      <c r="F25" s="15" t="n"/>
      <c r="G25" s="66" t="n"/>
      <c r="H25" s="66" t="n"/>
      <c r="I25" s="8" t="n"/>
      <c r="J25" s="8" t="n"/>
      <c r="K25" s="8" t="n"/>
    </row>
    <row r="26" ht="15" customFormat="1" customHeight="1" s="1">
      <c r="A26" s="16" t="n"/>
      <c r="B26" s="27" t="n"/>
      <c r="C26" s="64" t="n"/>
      <c r="D26" s="65" t="n"/>
      <c r="E26" s="23" t="n"/>
      <c r="F26" s="15" t="n"/>
      <c r="G26" s="66" t="n"/>
      <c r="H26" s="66" t="n"/>
      <c r="I26" s="8" t="n"/>
      <c r="J26" s="8" t="n"/>
      <c r="K26" s="8" t="n"/>
    </row>
    <row r="27" ht="15" customFormat="1" customHeight="1" s="1">
      <c r="A27" s="16" t="n"/>
      <c r="B27" s="27" t="n"/>
      <c r="C27" s="64" t="n"/>
      <c r="D27" s="65" t="n"/>
      <c r="E27" s="23" t="n"/>
      <c r="F27" s="15" t="n"/>
      <c r="G27" s="66" t="n"/>
      <c r="H27" s="66" t="n"/>
      <c r="I27" s="8" t="n"/>
      <c r="J27" s="8" t="n"/>
      <c r="K27" s="8" t="n"/>
    </row>
    <row r="28" ht="15" customFormat="1" customHeight="1" s="1">
      <c r="A28" s="16" t="n"/>
      <c r="B28" s="27" t="n"/>
      <c r="C28" s="64" t="n"/>
      <c r="D28" s="65" t="n"/>
      <c r="E28" s="23" t="n"/>
      <c r="F28" s="15" t="n"/>
      <c r="G28" s="66" t="n"/>
      <c r="H28" s="66" t="n"/>
      <c r="I28" s="8" t="n"/>
      <c r="J28" s="8" t="n"/>
      <c r="K28" s="8" t="n"/>
    </row>
    <row r="29" ht="15" customFormat="1" customHeight="1" s="1">
      <c r="A29" s="16" t="n"/>
      <c r="B29" s="27" t="n"/>
      <c r="C29" s="64" t="n"/>
      <c r="D29" s="65" t="n"/>
      <c r="E29" s="23" t="n"/>
      <c r="F29" s="15" t="n"/>
      <c r="G29" s="66" t="n"/>
      <c r="H29" s="66" t="n"/>
      <c r="I29" s="8" t="n"/>
      <c r="J29" s="8" t="n"/>
      <c r="K29" s="8" t="n"/>
    </row>
    <row r="30" ht="15" customFormat="1" customHeight="1" s="1">
      <c r="A30" s="16" t="n"/>
      <c r="B30" s="27" t="n"/>
      <c r="C30" s="64" t="n"/>
      <c r="D30" s="65" t="n"/>
      <c r="E30" s="23" t="n"/>
      <c r="F30" s="15" t="n"/>
      <c r="G30" s="66" t="n"/>
      <c r="H30" s="66" t="n"/>
      <c r="I30" s="8" t="n"/>
      <c r="J30" s="8" t="n"/>
      <c r="K30" s="8" t="n"/>
    </row>
    <row r="31" ht="15" customFormat="1" customHeight="1" s="1">
      <c r="A31" s="16" t="n"/>
      <c r="B31" s="27" t="n"/>
      <c r="C31" s="64" t="n"/>
      <c r="D31" s="65" t="n"/>
      <c r="E31" s="23" t="n"/>
      <c r="F31" s="15" t="n"/>
      <c r="G31" s="66" t="n"/>
      <c r="H31" s="66" t="n"/>
      <c r="I31" s="8" t="n"/>
      <c r="J31" s="8" t="n"/>
      <c r="K31" s="8" t="n"/>
    </row>
    <row r="32" ht="15" customFormat="1" customHeight="1" s="1">
      <c r="A32" s="16" t="n"/>
      <c r="B32" s="27" t="n"/>
      <c r="C32" s="64" t="n"/>
      <c r="D32" s="65" t="n"/>
      <c r="E32" s="23" t="n"/>
      <c r="F32" s="15" t="n"/>
      <c r="G32" s="66" t="n"/>
      <c r="H32" s="66" t="n"/>
      <c r="I32" s="8" t="n"/>
      <c r="J32" s="8" t="n"/>
      <c r="K32" s="8" t="n"/>
    </row>
    <row r="33" ht="15" customFormat="1" customHeight="1" s="1">
      <c r="A33" s="16" t="n"/>
      <c r="B33" s="27" t="n"/>
      <c r="C33" s="64" t="n"/>
      <c r="D33" s="65" t="n"/>
      <c r="E33" s="23" t="n"/>
      <c r="F33" s="15" t="n"/>
      <c r="G33" s="66" t="n"/>
      <c r="H33" s="66" t="n"/>
      <c r="I33" s="8" t="n"/>
      <c r="J33" s="8" t="n"/>
      <c r="K33" s="8" t="n"/>
    </row>
    <row r="34" ht="15" customFormat="1" customHeight="1" s="1">
      <c r="A34" s="16" t="n"/>
      <c r="B34" s="27" t="n"/>
      <c r="C34" s="64" t="n"/>
      <c r="D34" s="65" t="n"/>
      <c r="E34" s="23" t="n"/>
      <c r="F34" s="15" t="n"/>
      <c r="G34" s="66" t="n"/>
      <c r="H34" s="66" t="n"/>
      <c r="I34" s="8" t="n"/>
      <c r="J34" s="8" t="n"/>
      <c r="K34" s="8" t="n"/>
    </row>
    <row r="35" ht="15" customFormat="1" customHeight="1" s="1">
      <c r="A35" s="16" t="n"/>
      <c r="B35" s="27" t="n"/>
      <c r="C35" s="64" t="n"/>
      <c r="D35" s="65" t="n"/>
      <c r="E35" s="23" t="n"/>
      <c r="F35" s="15" t="n"/>
      <c r="G35" s="66" t="n"/>
      <c r="H35" s="66" t="n"/>
      <c r="I35" s="8" t="n"/>
      <c r="J35" s="8" t="n"/>
      <c r="K35" s="8" t="n"/>
    </row>
    <row r="36" ht="15" customFormat="1" customHeight="1" s="1">
      <c r="A36" s="16" t="n"/>
      <c r="B36" s="27" t="n"/>
      <c r="C36" s="64" t="n"/>
      <c r="D36" s="65" t="n"/>
      <c r="E36" s="23" t="n"/>
      <c r="F36" s="15" t="n"/>
      <c r="G36" s="66" t="n"/>
      <c r="H36" s="66" t="n"/>
      <c r="I36" s="8" t="n"/>
      <c r="J36" s="8" t="n"/>
      <c r="K36" s="8" t="n"/>
    </row>
    <row r="37" ht="12.75" customHeight="1">
      <c r="A37" s="20" t="n"/>
      <c r="B37" s="20" t="n"/>
      <c r="C37" s="67" t="n"/>
      <c r="D37" s="68" t="n"/>
      <c r="E37" s="24" t="n"/>
      <c r="F37" s="37" t="n"/>
      <c r="G37" s="21" t="n"/>
      <c r="H37" s="21" t="n"/>
      <c r="I37" s="8" t="n"/>
      <c r="J37" s="8" t="n"/>
      <c r="K37" s="8" t="n"/>
    </row>
    <row r="38" ht="15.75" customHeight="1">
      <c r="A38" s="17" t="n"/>
      <c r="B38" s="17" t="n"/>
      <c r="C38" s="17" t="n"/>
      <c r="D38" s="18" t="n"/>
      <c r="E38" s="19" t="n"/>
      <c r="F38" s="19" t="n"/>
      <c r="G38" s="19" t="n"/>
      <c r="H38" s="19" t="n"/>
      <c r="I38" s="8" t="n"/>
      <c r="J38" s="8" t="n"/>
      <c r="K38" s="8" t="n"/>
    </row>
    <row r="39" ht="31.5" customHeight="1">
      <c r="A39" s="49" t="inlineStr">
        <is>
          <t>By signing below, the Employee acknowledged that the above materials had been withdraw.</t>
        </is>
      </c>
      <c r="B39" s="69" t="n"/>
      <c r="C39" s="69" t="n"/>
      <c r="D39" s="70" t="n"/>
      <c r="E39" s="29" t="n"/>
      <c r="F39" s="29" t="n"/>
      <c r="G39" s="29" t="n"/>
      <c r="H39" s="29" t="n"/>
    </row>
    <row r="40" ht="15.75" customHeight="1">
      <c r="A40" s="49" t="inlineStr">
        <is>
          <t>Requested By:</t>
        </is>
      </c>
      <c r="B40" s="69" t="n"/>
      <c r="C40" s="70" t="n"/>
      <c r="D40" s="33" t="inlineStr">
        <is>
          <t>Approved By:</t>
        </is>
      </c>
      <c r="E40" s="10" t="n"/>
      <c r="F40" s="26" t="n"/>
      <c r="G40" s="26" t="n"/>
      <c r="H40" s="26" t="n"/>
      <c r="I40" s="26" t="n"/>
    </row>
    <row r="41" ht="15.75" customHeight="1">
      <c r="A41" s="54" t="inlineStr">
        <is>
          <t>Signature:</t>
        </is>
      </c>
      <c r="B41" s="71" t="n"/>
      <c r="C41" s="71" t="n"/>
      <c r="D41" s="30" t="inlineStr">
        <is>
          <t>Signature:</t>
        </is>
      </c>
      <c r="E41" s="26" t="n"/>
      <c r="F41" s="26" t="n"/>
      <c r="G41" s="26" t="n"/>
      <c r="H41" s="26" t="n"/>
    </row>
    <row r="42" ht="15.75" customHeight="1">
      <c r="A42" s="72" t="n"/>
      <c r="C42" s="73" t="n"/>
      <c r="D42" s="50" t="n"/>
      <c r="E42" s="26" t="n"/>
      <c r="F42" s="26" t="n"/>
      <c r="G42" s="26" t="n"/>
      <c r="H42" s="26" t="n"/>
    </row>
    <row r="43" ht="15.75" customHeight="1">
      <c r="A43" s="74" t="n"/>
      <c r="C43" s="73" t="n"/>
      <c r="D43" s="75" t="n"/>
      <c r="E43" s="26" t="n"/>
      <c r="F43" s="26" t="n"/>
      <c r="G43" s="26" t="n"/>
      <c r="H43" s="26" t="n"/>
    </row>
    <row r="44" ht="15.75" customHeight="1">
      <c r="A44" s="74" t="n"/>
      <c r="C44" s="73" t="n"/>
      <c r="D44" s="75" t="n"/>
      <c r="E44" s="26" t="n"/>
      <c r="F44" s="26" t="n"/>
      <c r="G44" s="26" t="n"/>
      <c r="H44" s="26" t="n"/>
    </row>
    <row r="45" ht="15.75" customHeight="1">
      <c r="A45" s="74" t="n"/>
      <c r="C45" s="73" t="n"/>
      <c r="D45" s="75" t="n"/>
      <c r="E45" s="26" t="n"/>
      <c r="F45" s="26" t="n"/>
      <c r="G45" s="26" t="n"/>
      <c r="H45" s="26" t="n"/>
    </row>
    <row r="46" ht="15.75" customHeight="1">
      <c r="A46" s="74" t="n"/>
      <c r="C46" s="73" t="n"/>
      <c r="D46" s="75" t="n"/>
      <c r="E46" s="26" t="n"/>
      <c r="F46" s="26" t="n"/>
      <c r="G46" s="26" t="n"/>
      <c r="H46" s="26" t="n"/>
    </row>
    <row r="47" ht="15.75" customHeight="1">
      <c r="A47" s="74" t="n"/>
      <c r="C47" s="73" t="n"/>
      <c r="D47" s="75" t="n"/>
      <c r="E47" s="26" t="n"/>
      <c r="F47" s="26" t="n"/>
      <c r="G47" s="26" t="n"/>
      <c r="H47" s="26" t="n"/>
    </row>
    <row r="48" ht="15.75" customHeight="1">
      <c r="A48" s="45" t="inlineStr">
        <is>
          <t>Name:</t>
        </is>
      </c>
      <c r="D48" s="31" t="inlineStr">
        <is>
          <t>Name:</t>
        </is>
      </c>
      <c r="E48" s="26" t="n"/>
      <c r="F48" s="26" t="n"/>
      <c r="G48" s="26" t="n"/>
      <c r="H48" s="26" t="n"/>
    </row>
    <row r="49" ht="15.75" customHeight="1">
      <c r="A49" s="45" t="inlineStr">
        <is>
          <t>Title:</t>
        </is>
      </c>
      <c r="D49" s="31" t="inlineStr">
        <is>
          <t>Title:</t>
        </is>
      </c>
      <c r="E49" s="26" t="n"/>
      <c r="F49" s="26" t="n"/>
      <c r="G49" s="26" t="n"/>
      <c r="H49" s="26" t="n"/>
    </row>
    <row r="50" ht="15.75" customHeight="1">
      <c r="A50" s="47" t="inlineStr">
        <is>
          <t>Date:</t>
        </is>
      </c>
      <c r="B50" s="76" t="n"/>
      <c r="C50" s="76" t="n"/>
      <c r="D50" s="32" t="inlineStr">
        <is>
          <t>Date:</t>
        </is>
      </c>
      <c r="E50" s="26" t="n"/>
      <c r="F50" s="26" t="n"/>
      <c r="G50" s="26" t="n"/>
      <c r="H50" s="26" t="n"/>
    </row>
    <row r="51" ht="15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</row>
  </sheetData>
  <mergeCells count="44">
    <mergeCell ref="C34:D34"/>
    <mergeCell ref="A41:C41"/>
    <mergeCell ref="C6:D6"/>
    <mergeCell ref="C24:D24"/>
    <mergeCell ref="I6:J6"/>
    <mergeCell ref="C30:D30"/>
    <mergeCell ref="C15:D15"/>
    <mergeCell ref="C33:D33"/>
    <mergeCell ref="C5:D5"/>
    <mergeCell ref="A42:C47"/>
    <mergeCell ref="C14:D14"/>
    <mergeCell ref="A50:C50"/>
    <mergeCell ref="C26:D26"/>
    <mergeCell ref="C35:D35"/>
    <mergeCell ref="C4:D4"/>
    <mergeCell ref="C20:D20"/>
    <mergeCell ref="C29:D29"/>
    <mergeCell ref="C16:D16"/>
    <mergeCell ref="I7:J7"/>
    <mergeCell ref="C25:D25"/>
    <mergeCell ref="A39:D39"/>
    <mergeCell ref="C22:D22"/>
    <mergeCell ref="C9:D9"/>
    <mergeCell ref="C31:D31"/>
    <mergeCell ref="C12:D12"/>
    <mergeCell ref="C21:D21"/>
    <mergeCell ref="C11:D11"/>
    <mergeCell ref="C27:D27"/>
    <mergeCell ref="A40:C40"/>
    <mergeCell ref="C36:D36"/>
    <mergeCell ref="A1:H2"/>
    <mergeCell ref="A48:C48"/>
    <mergeCell ref="C23:D23"/>
    <mergeCell ref="C17:D17"/>
    <mergeCell ref="C8:D8"/>
    <mergeCell ref="D42:D47"/>
    <mergeCell ref="A49:C49"/>
    <mergeCell ref="C7:D7"/>
    <mergeCell ref="C32:D32"/>
    <mergeCell ref="C19:D19"/>
    <mergeCell ref="C37:D37"/>
    <mergeCell ref="C28:D28"/>
    <mergeCell ref="C13:D13"/>
    <mergeCell ref="C18:D18"/>
  </mergeCells>
  <pageMargins left="0.5118110236220472" right="0.5118110236220472" top="0.8661417322834646" bottom="0.7086614173228347" header="0.3149606299212598" footer="0.3149606299212598"/>
  <pageSetup orientation="portrait" paperSize="9" scale="53"/>
  <headerFooter>
    <oddHeader>&amp;L&amp;G</oddHeader>
    <oddFooter>&amp;C&amp;12 Tendo Technology (Shanghai) Co., Ltd._x000a_Building B, Unit 206, No. 135 Yanping Road, Jingan District, Shanghai_x000a_腾都创迎（上海）科技有限公司_x000a_上海市静安区延平路135号B座206室&amp;R&amp;12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luuut</dc:creator>
  <dcterms:created xmlns:dcterms="http://purl.org/dc/terms/" xmlns:xsi="http://www.w3.org/2001/XMLSchema-instance" xsi:type="dcterms:W3CDTF">2015-04-22T16:21:00Z</dcterms:created>
  <dcterms:modified xmlns:dcterms="http://purl.org/dc/terms/" xmlns:xsi="http://www.w3.org/2001/XMLSchema-instance" xsi:type="dcterms:W3CDTF">2026-07-22T05:42:16Z</dcterms:modified>
  <cp:lastModifiedBy>Shi Hao</cp:lastModifiedBy>
  <cp:revision>3</cp:revision>
  <cp:lastPrinted>2026-04-07T07:16:05Z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3F600BB164EA42328B01B5FDB2301817_13</vt:lpwstr>
  </property>
  <property name="KSOProductBuildVer" fmtid="{D5CDD505-2E9C-101B-9397-08002B2CF9AE}" pid="3">
    <vt:lpwstr xmlns:vt="http://schemas.openxmlformats.org/officeDocument/2006/docPropsVTypes">2052-12.1.0.18912</vt:lpwstr>
  </property>
</Properties>
</file>