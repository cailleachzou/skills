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065" yWindow="-16320" windowWidth="29040" windowHeight="15720" tabRatio="600" firstSheet="0" activeTab="2" autoFilterDateGrouping="1"/>
  </bookViews>
  <sheets>
    <sheet xmlns:r="http://schemas.openxmlformats.org/officeDocument/2006/relationships" name="Progress Report" sheetId="1" state="visible" r:id="rId1"/>
    <sheet xmlns:r="http://schemas.openxmlformats.org/officeDocument/2006/relationships" name="Site Photo" sheetId="2" state="visible" r:id="rId2"/>
    <sheet xmlns:r="http://schemas.openxmlformats.org/officeDocument/2006/relationships" name="Issue_RFA Log" sheetId="3" state="visible" r:id="rId3"/>
  </sheets>
  <definedNames>
    <definedName name="_xlnm.Print_Area" localSheetId="0">'Progress Report'!$A$1:$X$32</definedName>
    <definedName name="_xlnm.Print_Area" localSheetId="1">'Site Photo'!$A$1:$I$25</definedName>
    <definedName name="_xlnm.Print_Area" localSheetId="2">'Issue_RFA Log'!$A$1:$J$27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d/mm/yyyy;@"/>
    <numFmt numFmtId="165" formatCode="[$-409]d\-mmm\-yy;@"/>
    <numFmt numFmtId="166" formatCode="[$-409]d\-mmm;@"/>
    <numFmt numFmtId="167" formatCode="yyyy-mm-dd h:mm:ss"/>
  </numFmts>
  <fonts count="33"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color indexed="9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  <u val="single"/>
    </font>
    <font>
      <name val="Arial"/>
      <family val="2"/>
      <b val="1"/>
      <sz val="16"/>
      <u val="single"/>
    </font>
    <font>
      <name val="Arial"/>
      <family val="2"/>
      <b val="1"/>
      <sz val="18"/>
    </font>
    <font>
      <name val="Arial"/>
      <family val="2"/>
      <b val="1"/>
      <color indexed="10"/>
      <sz val="10"/>
    </font>
    <font>
      <name val="Arial"/>
      <family val="2"/>
      <color indexed="10"/>
      <sz val="10"/>
    </font>
    <font>
      <name val="Arial"/>
      <family val="2"/>
      <sz val="10"/>
    </font>
    <font>
      <name val="Arial"/>
      <family val="2"/>
      <sz val="10"/>
      <u val="single"/>
    </font>
    <font>
      <name val="Calibri"/>
      <family val="2"/>
      <color indexed="8"/>
      <sz val="11"/>
    </font>
    <font>
      <name val="Arial"/>
      <family val="2"/>
      <sz val="11"/>
    </font>
    <font>
      <name val="Arial"/>
      <charset val="204"/>
      <family val="2"/>
      <sz val="10"/>
    </font>
    <font>
      <name val="Arial"/>
      <charset val="204"/>
      <family val="2"/>
      <b val="1"/>
      <sz val="12"/>
    </font>
    <font>
      <name val="Arial"/>
      <family val="2"/>
      <b val="1"/>
      <sz val="18"/>
      <u val="single"/>
    </font>
    <font>
      <name val="Calibri"/>
      <family val="2"/>
      <sz val="10"/>
    </font>
    <font>
      <name val="Calibri"/>
      <family val="2"/>
      <sz val="10"/>
    </font>
    <font>
      <name val="宋体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0"/>
      <sz val="10"/>
    </font>
    <font>
      <name val="Arial"/>
      <family val="2"/>
      <b val="1"/>
      <color theme="0"/>
      <sz val="14"/>
    </font>
    <font>
      <name val="Arial"/>
      <family val="2"/>
      <color theme="0"/>
      <sz val="10"/>
    </font>
    <font>
      <name val="Calibri"/>
      <family val="2"/>
      <i val="1"/>
      <color rgb="FFFF0000"/>
      <sz val="10"/>
    </font>
    <font>
      <name val="Calibri"/>
      <family val="2"/>
      <b val="1"/>
      <color rgb="FFFFFFFF"/>
      <sz val="10"/>
    </font>
    <font>
      <name val="Microsoft YaHei"/>
      <charset val="134"/>
      <family val="2"/>
      <sz val="10"/>
    </font>
    <font>
      <name val="Arial"/>
      <family val="2"/>
      <b val="1"/>
      <color rgb="FFFFFFFF"/>
      <sz val="10"/>
    </font>
    <font>
      <name val="Arial"/>
      <color rgb="FF000000"/>
      <sz val="10"/>
    </font>
    <font>
      <name val="Arial"/>
      <color rgb="FF00B050"/>
      <sz val="10"/>
    </font>
    <font>
      <name val="Arial"/>
      <color rgb="FFFFC000"/>
      <sz val="10"/>
    </font>
    <font>
      <name val="Arial"/>
      <color rgb="FFFF0000"/>
      <sz val="10"/>
    </font>
  </fonts>
  <fills count="11">
    <fill>
      <patternFill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7">
    <xf numFmtId="0" fontId="11" fillId="0" borderId="0"/>
    <xf numFmtId="44" fontId="13" fillId="0" borderId="0"/>
    <xf numFmtId="44" fontId="14" fillId="0" borderId="0"/>
    <xf numFmtId="0" fontId="20" fillId="0" borderId="0"/>
    <xf numFmtId="0" fontId="11" fillId="0" borderId="0"/>
    <xf numFmtId="0" fontId="11" fillId="0" borderId="0"/>
    <xf numFmtId="0" fontId="14" fillId="0" borderId="0"/>
  </cellStyleXfs>
  <cellXfs count="142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1" xfId="0"/>
    <xf numFmtId="0" fontId="2" fillId="0" borderId="2" applyAlignment="1" pivotButton="0" quotePrefix="0" xfId="0">
      <alignment horizontal="center"/>
    </xf>
    <xf numFmtId="0" fontId="2" fillId="0" borderId="0" pivotButton="0" quotePrefix="0" xfId="0"/>
    <xf numFmtId="0" fontId="1" fillId="0" borderId="3" applyAlignment="1" pivotButton="0" quotePrefix="0" xfId="0">
      <alignment horizontal="center" vertical="center" wrapText="1"/>
    </xf>
    <xf numFmtId="14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1" fillId="0" borderId="5" applyAlignment="1" pivotButton="0" quotePrefix="1" xfId="0">
      <alignment horizontal="center" vertical="center"/>
    </xf>
    <xf numFmtId="164" fontId="1" fillId="0" borderId="6" applyAlignment="1" pivotButton="0" quotePrefix="1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164" fontId="1" fillId="0" borderId="9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 wrapText="1"/>
    </xf>
    <xf numFmtId="165" fontId="1" fillId="0" borderId="3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9" fontId="2" fillId="0" borderId="0" applyAlignment="1" pivotButton="0" quotePrefix="0" xfId="0">
      <alignment horizontal="left"/>
    </xf>
    <xf numFmtId="0" fontId="7" fillId="0" borderId="0" pivotButton="0" quotePrefix="0" xfId="0"/>
    <xf numFmtId="0" fontId="8" fillId="0" borderId="0" applyAlignment="1" pivotButton="0" quotePrefix="0" xfId="0">
      <alignment vertical="center"/>
    </xf>
    <xf numFmtId="0" fontId="11" fillId="0" borderId="0" pivotButton="0" quotePrefix="0" xfId="0"/>
    <xf numFmtId="9" fontId="2" fillId="0" borderId="0" pivotButton="0" quotePrefix="0" xfId="0"/>
    <xf numFmtId="9" fontId="10" fillId="0" borderId="0" pivotButton="0" quotePrefix="0" xfId="0"/>
    <xf numFmtId="0" fontId="12" fillId="0" borderId="0" pivotButton="0" quotePrefix="0" xfId="0"/>
    <xf numFmtId="0" fontId="1" fillId="0" borderId="3" applyAlignment="1" pivotButton="0" quotePrefix="0" xfId="0">
      <alignment horizontal="left" vertical="center" wrapText="1"/>
    </xf>
    <xf numFmtId="9" fontId="11" fillId="0" borderId="0" pivotButton="0" quotePrefix="0" xfId="0"/>
    <xf numFmtId="9" fontId="11" fillId="0" borderId="11" applyAlignment="1" pivotButton="0" quotePrefix="0" xfId="0">
      <alignment horizontal="center"/>
    </xf>
    <xf numFmtId="9" fontId="11" fillId="0" borderId="12" applyAlignment="1" pivotButton="0" quotePrefix="0" xfId="0">
      <alignment horizontal="center"/>
    </xf>
    <xf numFmtId="14" fontId="11" fillId="0" borderId="12" applyAlignment="1" pivotButton="0" quotePrefix="0" xfId="0">
      <alignment horizontal="center"/>
    </xf>
    <xf numFmtId="0" fontId="11" fillId="0" borderId="2" pivotButton="0" quotePrefix="0" xfId="0"/>
    <xf numFmtId="9" fontId="11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center"/>
    </xf>
    <xf numFmtId="14" fontId="4" fillId="0" borderId="15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1" fillId="0" borderId="7" applyAlignment="1" pivotButton="0" quotePrefix="0" xfId="0">
      <alignment horizontal="left" vertical="center" wrapText="1"/>
    </xf>
    <xf numFmtId="0" fontId="1" fillId="0" borderId="16" applyAlignment="1" pivotButton="0" quotePrefix="0" xfId="0">
      <alignment horizontal="center"/>
    </xf>
    <xf numFmtId="0" fontId="1" fillId="0" borderId="17" applyAlignment="1" pivotButton="0" quotePrefix="0" xfId="0">
      <alignment horizontal="center"/>
    </xf>
    <xf numFmtId="0" fontId="6" fillId="0" borderId="18" applyAlignment="1" pivotButton="0" quotePrefix="0" xfId="0">
      <alignment horizontal="center" wrapText="1"/>
    </xf>
    <xf numFmtId="0" fontId="1" fillId="0" borderId="19" applyAlignment="1" pivotButton="0" quotePrefix="1" xfId="0">
      <alignment horizontal="center"/>
    </xf>
    <xf numFmtId="0" fontId="1" fillId="0" borderId="20" pivotButton="0" quotePrefix="0" xfId="0"/>
    <xf numFmtId="0" fontId="4" fillId="0" borderId="3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 wrapText="1"/>
    </xf>
    <xf numFmtId="9" fontId="21" fillId="0" borderId="0" pivotButton="0" quotePrefix="0" xfId="0"/>
    <xf numFmtId="0" fontId="3" fillId="3" borderId="2" applyAlignment="1" pivotButton="0" quotePrefix="0" xfId="0">
      <alignment horizontal="center" vertical="center" wrapText="1"/>
    </xf>
    <xf numFmtId="0" fontId="22" fillId="4" borderId="2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center" wrapText="1"/>
    </xf>
    <xf numFmtId="0" fontId="3" fillId="3" borderId="11" applyAlignment="1" pivotButton="0" quotePrefix="0" xfId="0">
      <alignment horizontal="center" vertical="center" wrapText="1"/>
    </xf>
    <xf numFmtId="0" fontId="3" fillId="3" borderId="27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3" fillId="3" borderId="28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 wrapText="1"/>
    </xf>
    <xf numFmtId="9" fontId="15" fillId="4" borderId="0" applyAlignment="1" pivotButton="0" quotePrefix="0" xfId="0">
      <alignment horizontal="center"/>
    </xf>
    <xf numFmtId="9" fontId="16" fillId="0" borderId="0" pivotButton="0" quotePrefix="0" xfId="0"/>
    <xf numFmtId="9" fontId="16" fillId="6" borderId="0" pivotButton="0" quotePrefix="0" xfId="0"/>
    <xf numFmtId="9" fontId="16" fillId="2" borderId="0" pivotButton="0" quotePrefix="0" xfId="0"/>
    <xf numFmtId="9" fontId="24" fillId="0" borderId="0" applyAlignment="1" pivotButton="0" quotePrefix="0" xfId="0">
      <alignment horizontal="left"/>
    </xf>
    <xf numFmtId="0" fontId="0" fillId="0" borderId="30" applyAlignment="1" pivotButton="0" quotePrefix="0" xfId="0">
      <alignment horizontal="center"/>
    </xf>
    <xf numFmtId="0" fontId="1" fillId="0" borderId="31" applyAlignment="1" pivotButton="0" quotePrefix="0" xfId="0">
      <alignment horizontal="center"/>
    </xf>
    <xf numFmtId="9" fontId="16" fillId="7" borderId="0" pivotButton="0" quotePrefix="0" xfId="0"/>
    <xf numFmtId="0" fontId="1" fillId="0" borderId="29" applyAlignment="1" pivotButton="0" quotePrefix="0" xfId="0">
      <alignment horizontal="center"/>
    </xf>
    <xf numFmtId="14" fontId="0" fillId="0" borderId="28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left" vertical="center" wrapText="1"/>
    </xf>
    <xf numFmtId="0" fontId="25" fillId="0" borderId="7" applyAlignment="1" pivotButton="0" quotePrefix="0" xfId="0">
      <alignment horizontal="center" vertical="center" wrapText="1"/>
    </xf>
    <xf numFmtId="0" fontId="0" fillId="8" borderId="7" applyAlignment="1" pivotButton="0" quotePrefix="0" xfId="0">
      <alignment horizontal="center" vertical="center" wrapText="1"/>
    </xf>
    <xf numFmtId="0" fontId="26" fillId="0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4" fontId="0" fillId="0" borderId="6" applyAlignment="1" pivotButton="0" quotePrefix="1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0" fillId="0" borderId="30" applyAlignment="1" pivotButton="0" quotePrefix="0" xfId="0">
      <alignment horizontal="center" wrapText="1"/>
    </xf>
    <xf numFmtId="0" fontId="27" fillId="0" borderId="30" applyAlignment="1" pivotButton="0" quotePrefix="0" xfId="0">
      <alignment horizontal="center"/>
    </xf>
    <xf numFmtId="9" fontId="0" fillId="0" borderId="21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9" fontId="0" fillId="0" borderId="21" applyAlignment="1" pivotButton="0" quotePrefix="1" xfId="0">
      <alignment horizontal="center"/>
    </xf>
    <xf numFmtId="0" fontId="0" fillId="0" borderId="22" applyAlignment="1" pivotButton="0" quotePrefix="1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9" fontId="0" fillId="0" borderId="13" applyAlignment="1" pivotButton="0" quotePrefix="0" xfId="0">
      <alignment horizontal="center"/>
    </xf>
    <xf numFmtId="0" fontId="0" fillId="0" borderId="3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9" fontId="0" fillId="0" borderId="8" applyAlignment="1" pivotButton="0" quotePrefix="0" xfId="0">
      <alignment horizontal="center"/>
    </xf>
    <xf numFmtId="166" fontId="0" fillId="0" borderId="7" applyAlignment="1" pivotButton="0" quotePrefix="0" xfId="0">
      <alignment horizontal="center"/>
    </xf>
    <xf numFmtId="166" fontId="0" fillId="0" borderId="10" applyAlignment="1" pivotButton="0" quotePrefix="0" xfId="0">
      <alignment horizontal="center"/>
    </xf>
    <xf numFmtId="9" fontId="0" fillId="0" borderId="26" applyAlignment="1" pivotButton="0" quotePrefix="0" xfId="0">
      <alignment horizontal="center"/>
    </xf>
    <xf numFmtId="0" fontId="0" fillId="0" borderId="38" applyAlignment="1" pivotButton="0" quotePrefix="0" xfId="0">
      <alignment horizontal="center"/>
    </xf>
    <xf numFmtId="0" fontId="0" fillId="0" borderId="39" applyAlignment="1" pivotButton="0" quotePrefix="0" xfId="0">
      <alignment horizontal="center"/>
    </xf>
    <xf numFmtId="166" fontId="0" fillId="0" borderId="33" applyAlignment="1" pivotButton="0" quotePrefix="0" xfId="0">
      <alignment horizontal="center"/>
    </xf>
    <xf numFmtId="166" fontId="0" fillId="0" borderId="14" applyAlignment="1" pivotButton="0" quotePrefix="0" xfId="0">
      <alignment horizontal="center"/>
    </xf>
    <xf numFmtId="166" fontId="1" fillId="0" borderId="34" applyAlignment="1" pivotButton="0" quotePrefix="0" xfId="0">
      <alignment horizontal="center"/>
    </xf>
    <xf numFmtId="166" fontId="1" fillId="0" borderId="25" applyAlignment="1" pivotButton="0" quotePrefix="0" xfId="0">
      <alignment horizontal="center"/>
    </xf>
    <xf numFmtId="166" fontId="0" fillId="0" borderId="40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9" fontId="0" fillId="0" borderId="29" applyAlignment="1" pivotButton="0" quotePrefix="0" xfId="0">
      <alignment horizontal="center"/>
    </xf>
    <xf numFmtId="9" fontId="23" fillId="5" borderId="36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9" fillId="0" borderId="7" applyAlignment="1" pivotButton="0" quotePrefix="0" xfId="0">
      <alignment horizontal="left" vertical="center" wrapText="1"/>
    </xf>
    <xf numFmtId="0" fontId="0" fillId="0" borderId="9" pivotButton="0" quotePrefix="0" xfId="0"/>
    <xf numFmtId="0" fontId="1" fillId="0" borderId="20" applyAlignment="1" pivotButton="0" quotePrefix="0" xfId="0">
      <alignment horizontal="center" vertical="center" wrapText="1"/>
    </xf>
    <xf numFmtId="0" fontId="1" fillId="0" borderId="35" applyAlignment="1" pivotButton="0" quotePrefix="0" xfId="0">
      <alignment horizontal="center" vertical="center" wrapText="1"/>
    </xf>
    <xf numFmtId="9" fontId="23" fillId="5" borderId="1" applyAlignment="1" pivotButton="0" quotePrefix="0" xfId="0">
      <alignment horizontal="center" vertical="center"/>
    </xf>
    <xf numFmtId="9" fontId="23" fillId="5" borderId="24" applyAlignment="1" pivotButton="0" quotePrefix="0" xfId="0">
      <alignment horizontal="center" vertical="center"/>
    </xf>
    <xf numFmtId="0" fontId="28" fillId="3" borderId="1" applyAlignment="1" pivotButton="0" quotePrefix="0" xfId="0">
      <alignment horizontal="center" vertical="center" wrapText="1"/>
    </xf>
    <xf numFmtId="0" fontId="3" fillId="3" borderId="24" applyAlignment="1" pivotButton="0" quotePrefix="0" xfId="0">
      <alignment horizontal="center" vertical="center" wrapText="1"/>
    </xf>
    <xf numFmtId="0" fontId="3" fillId="3" borderId="36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28" applyAlignment="1" pivotButton="0" quotePrefix="0" xfId="0">
      <alignment horizontal="center" vertical="center" wrapText="1"/>
    </xf>
    <xf numFmtId="9" fontId="1" fillId="0" borderId="37" applyAlignment="1" pivotButton="0" quotePrefix="0" xfId="0">
      <alignment horizontal="center"/>
    </xf>
    <xf numFmtId="9" fontId="1" fillId="0" borderId="35" applyAlignment="1" pivotButton="0" quotePrefix="0" xfId="0">
      <alignment horizontal="center"/>
    </xf>
    <xf numFmtId="0" fontId="0" fillId="0" borderId="24" pivotButton="0" quotePrefix="0" xfId="0"/>
    <xf numFmtId="0" fontId="28" fillId="3" borderId="2" applyAlignment="1" pivotButton="0" quotePrefix="0" xfId="0">
      <alignment horizontal="center" vertical="center" wrapText="1"/>
    </xf>
    <xf numFmtId="0" fontId="0" fillId="0" borderId="36" pivotButton="0" quotePrefix="0" xfId="0"/>
    <xf numFmtId="0" fontId="28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9" fontId="29" fillId="0" borderId="8" applyAlignment="1" pivotButton="0" quotePrefix="0" xfId="0">
      <alignment horizontal="center"/>
    </xf>
    <xf numFmtId="166" fontId="0" fillId="0" borderId="7" applyAlignment="1" pivotButton="0" quotePrefix="0" xfId="0">
      <alignment horizontal="center"/>
    </xf>
    <xf numFmtId="166" fontId="0" fillId="0" borderId="10" applyAlignment="1" pivotButton="0" quotePrefix="0" xfId="0">
      <alignment horizontal="center"/>
    </xf>
    <xf numFmtId="9" fontId="30" fillId="0" borderId="8" applyAlignment="1" pivotButton="0" quotePrefix="0" xfId="0">
      <alignment horizontal="center"/>
    </xf>
    <xf numFmtId="9" fontId="31" fillId="0" borderId="8" applyAlignment="1" pivotButton="0" quotePrefix="0" xfId="0">
      <alignment horizontal="center"/>
    </xf>
    <xf numFmtId="166" fontId="0" fillId="0" borderId="40" applyAlignment="1" pivotButton="0" quotePrefix="0" xfId="0">
      <alignment horizontal="center"/>
    </xf>
    <xf numFmtId="9" fontId="32" fillId="0" borderId="8" applyAlignment="1" pivotButton="0" quotePrefix="0" xfId="0">
      <alignment horizontal="center"/>
    </xf>
    <xf numFmtId="0" fontId="1" fillId="0" borderId="2" applyAlignment="1" pivotButton="0" quotePrefix="0" xfId="0">
      <alignment horizontal="center" vertical="center" wrapText="1"/>
    </xf>
    <xf numFmtId="166" fontId="0" fillId="0" borderId="33" applyAlignment="1" pivotButton="0" quotePrefix="0" xfId="0">
      <alignment horizontal="center"/>
    </xf>
    <xf numFmtId="166" fontId="0" fillId="0" borderId="14" applyAlignment="1" pivotButton="0" quotePrefix="0" xfId="0">
      <alignment horizontal="center"/>
    </xf>
    <xf numFmtId="0" fontId="0" fillId="0" borderId="35" pivotButton="0" quotePrefix="0" xfId="0"/>
    <xf numFmtId="166" fontId="1" fillId="0" borderId="34" applyAlignment="1" pivotButton="0" quotePrefix="0" xfId="0">
      <alignment horizontal="center"/>
    </xf>
    <xf numFmtId="166" fontId="1" fillId="0" borderId="25" applyAlignment="1" pivotButton="0" quotePrefix="0" xfId="0">
      <alignment horizontal="center"/>
    </xf>
    <xf numFmtId="166" fontId="0" fillId="0" borderId="6" applyAlignment="1" pivotButton="0" quotePrefix="1" xfId="0">
      <alignment horizontal="center" vertical="center"/>
    </xf>
    <xf numFmtId="164" fontId="0" fillId="0" borderId="6" applyAlignment="1" pivotButton="0" quotePrefix="1" xfId="0">
      <alignment horizontal="center" vertical="center"/>
    </xf>
    <xf numFmtId="166" fontId="0" fillId="0" borderId="7" applyAlignment="1" pivotButton="0" quotePrefix="0" xfId="0">
      <alignment horizontal="center" vertical="center" wrapText="1"/>
    </xf>
    <xf numFmtId="0" fontId="18" fillId="10" borderId="7" applyAlignment="1" pivotButton="0" quotePrefix="0" xfId="0">
      <alignment horizontal="center" vertical="center" wrapText="1"/>
    </xf>
    <xf numFmtId="166" fontId="1" fillId="0" borderId="6" applyAlignment="1" pivotButton="0" quotePrefix="1" xfId="0">
      <alignment horizontal="center" vertical="center"/>
    </xf>
    <xf numFmtId="166" fontId="1" fillId="0" borderId="3" applyAlignment="1" pivotButton="0" quotePrefix="0" xfId="0">
      <alignment horizontal="center" vertical="center" wrapText="1"/>
    </xf>
    <xf numFmtId="0" fontId="9" fillId="10" borderId="3" applyAlignment="1" pivotButton="0" quotePrefix="0" xfId="0">
      <alignment horizontal="center" vertical="center" wrapText="1"/>
    </xf>
    <xf numFmtId="164" fontId="1" fillId="0" borderId="9" applyAlignment="1" pivotButton="0" quotePrefix="0" xfId="0">
      <alignment horizontal="center" vertical="center"/>
    </xf>
    <xf numFmtId="165" fontId="1" fillId="0" borderId="3" applyAlignment="1" pivotButton="0" quotePrefix="0" xfId="0">
      <alignment horizontal="center" vertical="center"/>
    </xf>
  </cellXfs>
  <cellStyles count="7">
    <cellStyle name="Normal" xfId="0" builtinId="0"/>
    <cellStyle name="Currency 2" xfId="1"/>
    <cellStyle name="Currency 3" xfId="2"/>
    <cellStyle name="Normal 2" xfId="3"/>
    <cellStyle name="Normal 3" xfId="4"/>
    <cellStyle name="Normal 4" xfId="5"/>
    <cellStyle name="Normal 5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Relationship Type="http://schemas.openxmlformats.org/officeDocument/2006/relationships/image" Target="/xl/media/image4.jpeg" Id="rId2"/><Relationship Type="http://schemas.openxmlformats.org/officeDocument/2006/relationships/image" Target="/xl/media/image5.jpeg" Id="rId3"/><Relationship Type="http://schemas.openxmlformats.org/officeDocument/2006/relationships/image" Target="/xl/media/image6.jpeg" Id="rId4"/><Relationship Type="http://schemas.openxmlformats.org/officeDocument/2006/relationships/image" Target="/xl/media/image7.jpeg" Id="rId5"/><Relationship Type="http://schemas.openxmlformats.org/officeDocument/2006/relationships/image" Target="/xl/media/image8.jpeg" Id="rId6"/><Relationship Type="http://schemas.openxmlformats.org/officeDocument/2006/relationships/image" Target="/xl/media/image9.jpeg" Id="rId7"/><Relationship Type="http://schemas.openxmlformats.org/officeDocument/2006/relationships/image" Target="/xl/media/image10.jpeg" Id="rId8"/><Relationship Type="http://schemas.openxmlformats.org/officeDocument/2006/relationships/image" Target="/xl/media/image11.jpeg" Id="rId9"/><Relationship Type="http://schemas.openxmlformats.org/officeDocument/2006/relationships/image" Target="/xl/media/image12.jpeg" Id="rId10"/><Relationship Type="http://schemas.openxmlformats.org/officeDocument/2006/relationships/image" Target="/xl/media/image13.jpeg" Id="rId11"/><Relationship Type="http://schemas.openxmlformats.org/officeDocument/2006/relationships/image" Target="/xl/media/image14.jpeg" Id="rId12"/><Relationship Type="http://schemas.openxmlformats.org/officeDocument/2006/relationships/image" Target="/xl/media/image15.jpeg" Id="rId13"/><Relationship Type="http://schemas.openxmlformats.org/officeDocument/2006/relationships/image" Target="/xl/media/image16.jpeg" Id="rId14"/><Relationship Type="http://schemas.openxmlformats.org/officeDocument/2006/relationships/image" Target="/xl/media/image17.jpeg" Id="rId15"/><Relationship Type="http://schemas.openxmlformats.org/officeDocument/2006/relationships/image" Target="/xl/media/image18.jpeg" Id="rId16"/><Relationship Type="http://schemas.openxmlformats.org/officeDocument/2006/relationships/image" Target="/xl/media/image19.jpeg" Id="rId17"/><Relationship Type="http://schemas.openxmlformats.org/officeDocument/2006/relationships/image" Target="/xl/media/image20.jpeg" Id="rId18"/><Relationship Type="http://schemas.openxmlformats.org/officeDocument/2006/relationships/image" Target="/xl/media/image21.jpeg" Id="rId19"/><Relationship Type="http://schemas.openxmlformats.org/officeDocument/2006/relationships/image" Target="/xl/media/image22.jpeg" Id="rId20"/><Relationship Type="http://schemas.openxmlformats.org/officeDocument/2006/relationships/image" Target="/xl/media/image23.jpeg" Id="rId21"/><Relationship Type="http://schemas.openxmlformats.org/officeDocument/2006/relationships/image" Target="/xl/media/image24.jpeg" Id="rId22"/><Relationship Type="http://schemas.openxmlformats.org/officeDocument/2006/relationships/image" Target="/xl/media/image25.jpeg" Id="rId23"/><Relationship Type="http://schemas.openxmlformats.org/officeDocument/2006/relationships/image" Target="/xl/media/image26.jpeg" Id="rId24"/><Relationship Type="http://schemas.openxmlformats.org/officeDocument/2006/relationships/image" Target="/xl/media/image27.jpeg" Id="rId25"/><Relationship Type="http://schemas.openxmlformats.org/officeDocument/2006/relationships/image" Target="/xl/media/image28.jpeg" Id="rId26"/><Relationship Type="http://schemas.openxmlformats.org/officeDocument/2006/relationships/image" Target="/xl/media/image29.jpeg" Id="rId27"/><Relationship Type="http://schemas.openxmlformats.org/officeDocument/2006/relationships/image" Target="/xl/media/image30.png" Id="rId28"/></Relationships>
</file>

<file path=xl/drawings/drawing1.xml><?xml version="1.0" encoding="utf-8"?>
<wsDr xmlns="http://schemas.openxmlformats.org/drawingml/2006/spreadsheetDrawing">
  <twoCellAnchor editAs="oneCell">
    <from>
      <col>0</col>
      <colOff>48986</colOff>
      <row>0</row>
      <rowOff>43543</rowOff>
    </from>
    <to>
      <col>4</col>
      <colOff>559276</colOff>
      <row>6</row>
      <rowOff>29973</rowOff>
    </to>
    <pic>
      <nvPicPr>
        <cNvPr id="19014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8986" y="43543"/>
          <a:ext cx="3167743" cy="93072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48986</colOff>
      <row>0</row>
      <rowOff>43543</rowOff>
    </from>
    <to>
      <col>2</col>
      <colOff>1913156</colOff>
      <row>6</row>
      <rowOff>29944</rowOff>
    </to>
    <pic>
      <nvPicPr>
        <cNvPr id="28004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8986" y="43543"/>
          <a:ext cx="3173185" cy="93072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>
    <from>
      <col>9</col>
      <colOff>1725386</colOff>
      <row>20</row>
      <rowOff>0</rowOff>
    </from>
    <to>
      <col>10</col>
      <colOff>0</colOff>
      <row>20</row>
      <rowOff>0</rowOff>
    </to>
    <pic>
      <nvPicPr>
        <cNvPr id="30287" name="Picture 1" descr="ISGAsia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837729" y="5442857"/>
          <a:ext cx="70757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9</col>
      <colOff>1725386</colOff>
      <row>20</row>
      <rowOff>0</rowOff>
    </from>
    <to>
      <col>10</col>
      <colOff>0</colOff>
      <row>20</row>
      <rowOff>0</rowOff>
    </to>
    <pic>
      <nvPicPr>
        <cNvPr id="30288" name="Picture 3" descr="ISGAsia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837729" y="5442857"/>
          <a:ext cx="70757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9</col>
      <colOff>1725386</colOff>
      <row>20</row>
      <rowOff>0</rowOff>
    </from>
    <to>
      <col>10</col>
      <colOff>0</colOff>
      <row>20</row>
      <rowOff>0</rowOff>
    </to>
    <pic>
      <nvPicPr>
        <cNvPr id="30289" name="Picture 4" descr="ISGAsia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837729" y="5442857"/>
          <a:ext cx="70757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9</col>
      <colOff>1725386</colOff>
      <row>20</row>
      <rowOff>0</rowOff>
    </from>
    <to>
      <col>10</col>
      <colOff>0</colOff>
      <row>20</row>
      <rowOff>0</rowOff>
    </to>
    <pic>
      <nvPicPr>
        <cNvPr id="30290" name="Picture 5" descr="ISGAsia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837729" y="5442857"/>
          <a:ext cx="70757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9</col>
      <colOff>1725386</colOff>
      <row>20</row>
      <rowOff>0</rowOff>
    </from>
    <to>
      <col>10</col>
      <colOff>0</colOff>
      <row>20</row>
      <rowOff>0</rowOff>
    </to>
    <pic>
      <nvPicPr>
        <cNvPr id="30291" name="Picture 6" descr="ISGAsia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837729" y="5442857"/>
          <a:ext cx="70757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9</col>
      <colOff>1725386</colOff>
      <row>20</row>
      <rowOff>0</rowOff>
    </from>
    <to>
      <col>10</col>
      <colOff>0</colOff>
      <row>20</row>
      <rowOff>0</rowOff>
    </to>
    <pic>
      <nvPicPr>
        <cNvPr id="30292" name="Picture 7" descr="ISGAsia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837729" y="5442857"/>
          <a:ext cx="70757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9</col>
      <colOff>1725386</colOff>
      <row>20</row>
      <rowOff>0</rowOff>
    </from>
    <to>
      <col>10</col>
      <colOff>0</colOff>
      <row>20</row>
      <rowOff>0</rowOff>
    </to>
    <pic>
      <nvPicPr>
        <cNvPr id="30293" name="Picture 8" descr="ISGAsia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837729" y="5442857"/>
          <a:ext cx="70757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9</col>
      <colOff>1725386</colOff>
      <row>20</row>
      <rowOff>0</rowOff>
    </from>
    <to>
      <col>10</col>
      <colOff>0</colOff>
      <row>20</row>
      <rowOff>0</rowOff>
    </to>
    <pic>
      <nvPicPr>
        <cNvPr id="30294" name="Picture 9" descr="ISGAsia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837729" y="5442857"/>
          <a:ext cx="70757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9</col>
      <colOff>1725386</colOff>
      <row>20</row>
      <rowOff>0</rowOff>
    </from>
    <to>
      <col>10</col>
      <colOff>0</colOff>
      <row>20</row>
      <rowOff>0</rowOff>
    </to>
    <pic>
      <nvPicPr>
        <cNvPr id="30295" name="Picture 10" descr="ISGAsia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837729" y="5442857"/>
          <a:ext cx="70757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9</col>
      <colOff>1725386</colOff>
      <row>20</row>
      <rowOff>0</rowOff>
    </from>
    <to>
      <col>10</col>
      <colOff>0</colOff>
      <row>20</row>
      <rowOff>0</rowOff>
    </to>
    <pic>
      <nvPicPr>
        <cNvPr id="30296" name="Picture 11" descr="ISGAsia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837729" y="5442857"/>
          <a:ext cx="70757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9</col>
      <colOff>1725386</colOff>
      <row>20</row>
      <rowOff>0</rowOff>
    </from>
    <to>
      <col>10</col>
      <colOff>0</colOff>
      <row>20</row>
      <rowOff>0</rowOff>
    </to>
    <pic>
      <nvPicPr>
        <cNvPr id="30297" name="Picture 12" descr="ISGAsia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837729" y="5442857"/>
          <a:ext cx="70757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9</col>
      <colOff>1725386</colOff>
      <row>20</row>
      <rowOff>0</rowOff>
    </from>
    <to>
      <col>10</col>
      <colOff>0</colOff>
      <row>20</row>
      <rowOff>0</rowOff>
    </to>
    <pic>
      <nvPicPr>
        <cNvPr id="30298" name="Picture 13" descr="ISGAsia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837729" y="5442857"/>
          <a:ext cx="70757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9</col>
      <colOff>1725386</colOff>
      <row>20</row>
      <rowOff>0</rowOff>
    </from>
    <to>
      <col>10</col>
      <colOff>0</colOff>
      <row>20</row>
      <rowOff>0</rowOff>
    </to>
    <pic>
      <nvPicPr>
        <cNvPr id="30299" name="Picture 14" descr="ISGAsia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837729" y="5442857"/>
          <a:ext cx="70757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9</col>
      <colOff>1725386</colOff>
      <row>20</row>
      <rowOff>0</rowOff>
    </from>
    <to>
      <col>10</col>
      <colOff>0</colOff>
      <row>20</row>
      <rowOff>0</rowOff>
    </to>
    <pic>
      <nvPicPr>
        <cNvPr id="30300" name="Picture 15" descr="ISGAsia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837729" y="5442857"/>
          <a:ext cx="70757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9</col>
      <colOff>1725386</colOff>
      <row>20</row>
      <rowOff>0</rowOff>
    </from>
    <to>
      <col>10</col>
      <colOff>0</colOff>
      <row>20</row>
      <rowOff>0</rowOff>
    </to>
    <pic>
      <nvPicPr>
        <cNvPr id="30301" name="Picture 16" descr="ISGAsia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837729" y="5442857"/>
          <a:ext cx="70757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9</col>
      <colOff>1725386</colOff>
      <row>20</row>
      <rowOff>0</rowOff>
    </from>
    <to>
      <col>10</col>
      <colOff>0</colOff>
      <row>20</row>
      <rowOff>0</rowOff>
    </to>
    <pic>
      <nvPicPr>
        <cNvPr id="30302" name="Picture 17" descr="ISGAsia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837729" y="5442857"/>
          <a:ext cx="70757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9</col>
      <colOff>1725386</colOff>
      <row>20</row>
      <rowOff>0</rowOff>
    </from>
    <to>
      <col>10</col>
      <colOff>0</colOff>
      <row>20</row>
      <rowOff>0</rowOff>
    </to>
    <pic>
      <nvPicPr>
        <cNvPr id="30303" name="Picture 18" descr="ISGAsia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837729" y="5442857"/>
          <a:ext cx="70757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9</col>
      <colOff>1725386</colOff>
      <row>20</row>
      <rowOff>0</rowOff>
    </from>
    <to>
      <col>10</col>
      <colOff>0</colOff>
      <row>20</row>
      <rowOff>0</rowOff>
    </to>
    <pic>
      <nvPicPr>
        <cNvPr id="30304" name="Picture 19" descr="ISGAsia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837729" y="5442857"/>
          <a:ext cx="70757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9</col>
      <colOff>1725386</colOff>
      <row>20</row>
      <rowOff>0</rowOff>
    </from>
    <to>
      <col>10</col>
      <colOff>0</colOff>
      <row>20</row>
      <rowOff>0</rowOff>
    </to>
    <pic>
      <nvPicPr>
        <cNvPr id="30305" name="Picture 20" descr="ISGAsia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837729" y="5442857"/>
          <a:ext cx="70757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9</col>
      <colOff>1725386</colOff>
      <row>20</row>
      <rowOff>0</rowOff>
    </from>
    <to>
      <col>10</col>
      <colOff>0</colOff>
      <row>20</row>
      <rowOff>0</rowOff>
    </to>
    <pic>
      <nvPicPr>
        <cNvPr id="30306" name="Picture 21" descr="ISGAsia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837729" y="5442857"/>
          <a:ext cx="70757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9</col>
      <colOff>1725386</colOff>
      <row>20</row>
      <rowOff>0</rowOff>
    </from>
    <to>
      <col>10</col>
      <colOff>0</colOff>
      <row>20</row>
      <rowOff>0</rowOff>
    </to>
    <pic>
      <nvPicPr>
        <cNvPr id="30307" name="Picture 22" descr="ISGAsia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837729" y="5442857"/>
          <a:ext cx="70757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9</col>
      <colOff>1725386</colOff>
      <row>20</row>
      <rowOff>0</rowOff>
    </from>
    <to>
      <col>10</col>
      <colOff>0</colOff>
      <row>20</row>
      <rowOff>0</rowOff>
    </to>
    <pic>
      <nvPicPr>
        <cNvPr id="30308" name="Picture 23" descr="ISGAsia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837729" y="5442857"/>
          <a:ext cx="70757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9</col>
      <colOff>1725386</colOff>
      <row>20</row>
      <rowOff>0</rowOff>
    </from>
    <to>
      <col>10</col>
      <colOff>0</colOff>
      <row>20</row>
      <rowOff>0</rowOff>
    </to>
    <pic>
      <nvPicPr>
        <cNvPr id="30309" name="Picture 24" descr="ISGAsia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837729" y="5442857"/>
          <a:ext cx="70757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9</col>
      <colOff>1725386</colOff>
      <row>20</row>
      <rowOff>0</rowOff>
    </from>
    <to>
      <col>10</col>
      <colOff>0</colOff>
      <row>20</row>
      <rowOff>0</rowOff>
    </to>
    <pic>
      <nvPicPr>
        <cNvPr id="30310" name="Picture 25" descr="ISGAsia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837729" y="5442857"/>
          <a:ext cx="70757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9</col>
      <colOff>1725386</colOff>
      <row>20</row>
      <rowOff>0</rowOff>
    </from>
    <to>
      <col>10</col>
      <colOff>0</colOff>
      <row>20</row>
      <rowOff>0</rowOff>
    </to>
    <pic>
      <nvPicPr>
        <cNvPr id="30311" name="Picture 26" descr="ISGAsia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837729" y="5442857"/>
          <a:ext cx="70757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9</col>
      <colOff>1725386</colOff>
      <row>20</row>
      <rowOff>0</rowOff>
    </from>
    <to>
      <col>10</col>
      <colOff>0</colOff>
      <row>20</row>
      <rowOff>0</rowOff>
    </to>
    <pic>
      <nvPicPr>
        <cNvPr id="30312" name="Picture 27" descr="ISGAsia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837729" y="5442857"/>
          <a:ext cx="70757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9</col>
      <colOff>1725386</colOff>
      <row>20</row>
      <rowOff>0</rowOff>
    </from>
    <to>
      <col>10</col>
      <colOff>0</colOff>
      <row>20</row>
      <rowOff>0</rowOff>
    </to>
    <pic>
      <nvPicPr>
        <cNvPr id="30313" name="Picture 28" descr="ISGAsia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837729" y="5442857"/>
          <a:ext cx="70757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0</col>
      <colOff>48986</colOff>
      <row>0</row>
      <rowOff>43543</rowOff>
    </from>
    <to>
      <col>2</col>
      <colOff>1790700</colOff>
      <row>5</row>
      <rowOff>133350</rowOff>
    </to>
    <pic>
      <nvPicPr>
        <cNvPr id="30314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8986" y="43543"/>
          <a:ext cx="3189514" cy="876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indexed="14"/>
    <outlinePr summaryBelow="1" summaryRight="1"/>
    <pageSetUpPr fitToPage="1"/>
  </sheetPr>
  <dimension ref="A6:X35"/>
  <sheetViews>
    <sheetView topLeftCell="A4" zoomScale="85" zoomScaleNormal="85" zoomScaleSheetLayoutView="100" workbookViewId="0">
      <selection activeCell="E10" sqref="E10"/>
    </sheetView>
  </sheetViews>
  <sheetFormatPr baseColWidth="8" defaultColWidth="9.15234375" defaultRowHeight="12.45"/>
  <cols>
    <col width="5.3828125" customWidth="1" style="22" min="1" max="1"/>
    <col width="14.69140625" customWidth="1" style="22" min="2" max="2"/>
    <col width="8.69140625" customWidth="1" style="27" min="3" max="3"/>
    <col width="8.69140625" customWidth="1" style="22" min="4" max="4"/>
    <col width="9.3046875" bestFit="1" customWidth="1" style="22" min="5" max="5"/>
    <col width="8.69140625" customWidth="1" style="27" min="6" max="6"/>
    <col width="8.69140625" customWidth="1" style="22" min="7" max="7"/>
    <col width="9.3046875" bestFit="1" customWidth="1" style="22" min="8" max="8"/>
    <col width="8.69140625" customWidth="1" style="27" min="9" max="9"/>
    <col width="8.69140625" customWidth="1" style="22" min="10" max="10"/>
    <col width="9.3046875" bestFit="1" customWidth="1" style="22" min="11" max="11"/>
    <col width="5.921875" bestFit="1" customWidth="1" style="22" min="12" max="12"/>
    <col width="8.69140625" customWidth="1" style="22" min="13" max="13"/>
    <col width="11.3046875" customWidth="1" style="22" min="14" max="14"/>
    <col width="8.69140625" customWidth="1" style="27" min="15" max="15"/>
    <col width="8.69140625" customWidth="1" style="22" min="16" max="16"/>
    <col width="9.3046875" bestFit="1" customWidth="1" style="22" min="17" max="17"/>
    <col width="8.69140625" customWidth="1" style="22" min="18" max="19"/>
    <col width="9.3046875" bestFit="1" customWidth="1" style="22" min="20" max="20"/>
    <col width="8.69140625" customWidth="1" style="27" min="21" max="21"/>
    <col width="8.69140625" customWidth="1" style="22" min="22" max="22"/>
    <col width="9.3046875" bestFit="1" customWidth="1" style="22" min="23" max="23"/>
    <col width="13.15234375" customWidth="1" style="22" min="24" max="24"/>
    <col width="9.15234375" customWidth="1" style="22" min="25" max="16384"/>
  </cols>
  <sheetData>
    <row r="6" ht="12.75" customHeight="1">
      <c r="A6" s="21" t="n"/>
      <c r="B6" s="21" t="n"/>
      <c r="C6" s="21" t="n"/>
      <c r="D6" s="21" t="n"/>
      <c r="E6" s="21" t="n"/>
      <c r="F6" s="21" t="n"/>
      <c r="G6" s="21" t="n"/>
      <c r="H6" s="21" t="n"/>
      <c r="J6" s="21" t="n"/>
      <c r="M6" s="21" t="n"/>
      <c r="P6" s="21" t="n"/>
      <c r="S6" s="21" t="n"/>
      <c r="V6" s="21" t="n"/>
    </row>
    <row r="7" ht="12.75" customHeight="1">
      <c r="A7" s="21" t="n"/>
      <c r="B7" s="21" t="n"/>
      <c r="C7" s="21" t="n"/>
      <c r="D7" s="21" t="n"/>
      <c r="E7" s="21" t="n"/>
      <c r="F7" s="21" t="n"/>
      <c r="G7" s="21" t="n"/>
      <c r="H7" s="21" t="n"/>
      <c r="J7" s="21" t="n"/>
      <c r="M7" s="21" t="n"/>
      <c r="P7" s="21" t="n"/>
      <c r="S7" s="21" t="n"/>
      <c r="V7" s="21" t="n"/>
    </row>
    <row r="8" ht="18" customHeight="1"/>
    <row r="9" ht="20.15" customHeight="1">
      <c r="A9" s="4" t="inlineStr">
        <is>
          <t>Progress Report Updated On :</t>
        </is>
      </c>
      <c r="C9" s="50" t="n"/>
      <c r="D9" s="20" t="n"/>
      <c r="E9" s="4" t="inlineStr">
        <is>
          <t>2026-07-30</t>
        </is>
      </c>
      <c r="F9" s="50" t="n"/>
      <c r="G9" s="20" t="n"/>
      <c r="H9" s="20" t="n"/>
      <c r="J9" s="20" t="n"/>
      <c r="M9" s="20" t="n"/>
      <c r="P9" s="20" t="n"/>
      <c r="S9" s="20" t="n"/>
      <c r="V9" s="20" t="n"/>
    </row>
    <row r="10" ht="20.25" customHeight="1">
      <c r="A10" s="4" t="inlineStr">
        <is>
          <t>Project :</t>
        </is>
      </c>
      <c r="E10" s="4" t="inlineStr">
        <is>
          <t>Aurora Tech Shanghai - L28 Smart Office Retrofit</t>
        </is>
      </c>
    </row>
    <row r="11" ht="15.9" customHeight="1" thickBot="1">
      <c r="A11" s="4" t="n"/>
    </row>
    <row r="12" ht="23.25" customHeight="1" thickBot="1">
      <c r="C12" s="106" t="inlineStr">
        <is>
          <t>Aurora Tech Shanghai - L28 Smart Office Retrofit</t>
        </is>
      </c>
      <c r="D12" s="115" t="n"/>
      <c r="E12" s="115" t="n"/>
      <c r="F12" s="115" t="n"/>
      <c r="G12" s="115" t="n"/>
      <c r="H12" s="115" t="n"/>
      <c r="I12" s="115" t="n"/>
      <c r="J12" s="115" t="n"/>
      <c r="K12" s="115" t="n"/>
      <c r="L12" s="115" t="n"/>
      <c r="M12" s="115" t="n"/>
      <c r="N12" s="115" t="n"/>
      <c r="X12" s="100" t="n"/>
    </row>
    <row r="13" ht="56.25" customHeight="1" thickBot="1">
      <c r="A13" s="45" t="inlineStr">
        <is>
          <t>Item No.</t>
        </is>
      </c>
      <c r="B13" s="45" t="inlineStr">
        <is>
          <t>Description</t>
        </is>
      </c>
      <c r="C13" s="116" t="inlineStr">
        <is>
          <t>Cable Pulling</t>
        </is>
      </c>
      <c r="D13" s="115" t="n"/>
      <c r="E13" s="117" t="n"/>
      <c r="F13" s="116" t="inlineStr">
        <is>
          <t>Termination</t>
        </is>
      </c>
      <c r="G13" s="115" t="n"/>
      <c r="H13" s="117" t="n"/>
      <c r="I13" s="116" t="inlineStr">
        <is>
          <t>Faceplate Installation</t>
        </is>
      </c>
      <c r="J13" s="115" t="n"/>
      <c r="K13" s="117" t="n"/>
      <c r="L13" s="116" t="inlineStr">
        <is>
          <t>Testing</t>
        </is>
      </c>
      <c r="M13" s="115" t="n"/>
      <c r="N13" s="117" t="n"/>
      <c r="O13" s="118" t="n"/>
      <c r="R13" s="118" t="n"/>
      <c r="U13" s="119" t="n"/>
      <c r="X13" s="46" t="inlineStr">
        <is>
          <t>Overall Percentage</t>
        </is>
      </c>
    </row>
    <row r="14" ht="27.75" customHeight="1" thickBot="1">
      <c r="A14" s="2" t="n"/>
      <c r="B14" s="3" t="inlineStr">
        <is>
          <t>Floor</t>
        </is>
      </c>
      <c r="C14" s="30" t="inlineStr">
        <is>
          <t>%</t>
        </is>
      </c>
      <c r="D14" s="62" t="inlineStr">
        <is>
          <t>Till Date</t>
        </is>
      </c>
      <c r="E14" s="43" t="inlineStr">
        <is>
          <t>Target Date</t>
        </is>
      </c>
      <c r="F14" s="30" t="inlineStr">
        <is>
          <t>%</t>
        </is>
      </c>
      <c r="G14" s="62" t="inlineStr">
        <is>
          <t>Till Date</t>
        </is>
      </c>
      <c r="H14" s="43" t="inlineStr">
        <is>
          <t>Target Date</t>
        </is>
      </c>
      <c r="I14" s="29" t="inlineStr">
        <is>
          <t>%</t>
        </is>
      </c>
      <c r="J14" s="62" t="inlineStr">
        <is>
          <t>Till Date</t>
        </is>
      </c>
      <c r="K14" s="43" t="inlineStr">
        <is>
          <t>Target Date</t>
        </is>
      </c>
      <c r="L14" s="29" t="inlineStr">
        <is>
          <t>%</t>
        </is>
      </c>
      <c r="M14" s="62" t="inlineStr">
        <is>
          <t>Till Date</t>
        </is>
      </c>
      <c r="N14" s="34" t="inlineStr">
        <is>
          <t>Target Date</t>
        </is>
      </c>
      <c r="O14" s="29" t="n"/>
      <c r="P14" s="62" t="n"/>
      <c r="Q14" s="34" t="n"/>
      <c r="R14" s="28" t="n"/>
      <c r="S14" s="62" t="n"/>
      <c r="T14" s="34" t="n"/>
      <c r="U14" s="28" t="n"/>
      <c r="V14" s="62" t="n"/>
      <c r="W14" s="34" t="n"/>
      <c r="X14" s="31" t="n"/>
    </row>
    <row r="15" ht="12.9" customHeight="1" thickBot="1">
      <c r="A15" s="40" t="n"/>
      <c r="B15" s="41" t="n"/>
      <c r="C15" s="77" t="n"/>
      <c r="D15" s="78" t="n"/>
      <c r="E15" s="79" t="n"/>
      <c r="F15" s="77" t="n"/>
      <c r="G15" s="78" t="n"/>
      <c r="H15" s="79" t="n"/>
      <c r="I15" s="77" t="n"/>
      <c r="J15" s="78" t="n"/>
      <c r="K15" s="79" t="n"/>
      <c r="L15" s="80" t="n"/>
      <c r="M15" s="78" t="n"/>
      <c r="N15" s="81" t="n"/>
      <c r="O15" s="82" t="n"/>
      <c r="P15" s="78" t="n"/>
      <c r="Q15" s="79" t="n"/>
      <c r="R15" s="77" t="n"/>
      <c r="S15" s="78" t="n"/>
      <c r="T15" s="79" t="n"/>
      <c r="U15" s="77" t="n"/>
      <c r="V15" s="78" t="n"/>
      <c r="W15" s="79" t="n"/>
      <c r="X15" s="83" t="n"/>
    </row>
    <row r="16" ht="15.75" customHeight="1">
      <c r="A16" s="38" t="n"/>
      <c r="B16" s="39" t="inlineStr">
        <is>
          <t>L28</t>
        </is>
      </c>
      <c r="C16" s="84" t="n"/>
      <c r="D16" s="85" t="n"/>
      <c r="E16" s="86" t="n"/>
      <c r="F16" s="84" t="n"/>
      <c r="G16" s="85" t="n"/>
      <c r="H16" s="86" t="n"/>
      <c r="I16" s="84" t="n"/>
      <c r="J16" s="85" t="n"/>
      <c r="K16" s="86" t="n"/>
      <c r="L16" s="84" t="n"/>
      <c r="M16" s="85" t="n"/>
      <c r="N16" s="86" t="n"/>
      <c r="O16" s="84" t="n"/>
      <c r="P16" s="85" t="n"/>
      <c r="Q16" s="86" t="n"/>
      <c r="R16" s="84" t="n"/>
      <c r="S16" s="85" t="n"/>
      <c r="T16" s="86" t="n"/>
      <c r="U16" s="84" t="n"/>
      <c r="V16" s="85" t="n"/>
      <c r="W16" s="85" t="n"/>
      <c r="X16" s="98" t="n"/>
    </row>
    <row r="17" ht="37.3" customHeight="1">
      <c r="A17" s="61" t="n">
        <v>1</v>
      </c>
      <c r="B17" s="75" t="inlineStr">
        <is>
          <t>Reception</t>
        </is>
      </c>
      <c r="C17" s="120" t="n">
        <v>1</v>
      </c>
      <c r="D17" s="121" t="n">
        <v>46228</v>
      </c>
      <c r="E17" s="122" t="n">
        <v>46228</v>
      </c>
      <c r="F17" s="123" t="n">
        <v>0.8</v>
      </c>
      <c r="G17" s="121" t="n">
        <v>46231</v>
      </c>
      <c r="H17" s="122" t="n">
        <v>46233</v>
      </c>
      <c r="I17" s="123" t="n">
        <v>0.5</v>
      </c>
      <c r="J17" s="121" t="n">
        <v>46232</v>
      </c>
      <c r="K17" s="122" t="n">
        <v>46234</v>
      </c>
      <c r="L17" s="124" t="n">
        <v>0</v>
      </c>
      <c r="M17" s="121" t="n"/>
      <c r="N17" s="122" t="n">
        <v>46236</v>
      </c>
      <c r="O17" s="87" t="n"/>
      <c r="P17" s="121" t="n"/>
      <c r="Q17" s="122" t="n"/>
      <c r="R17" s="87" t="n"/>
      <c r="S17" s="121" t="n"/>
      <c r="T17" s="122" t="n"/>
      <c r="U17" s="87" t="n"/>
      <c r="V17" s="121" t="n"/>
      <c r="W17" s="125" t="n"/>
      <c r="X17" s="99">
        <f>AVERAGE(C17,F17,I17,L17)</f>
        <v/>
      </c>
    </row>
    <row r="18" ht="15.75" customHeight="1">
      <c r="A18" s="61" t="n">
        <v>2</v>
      </c>
      <c r="B18" s="58" t="inlineStr">
        <is>
          <t>Open Office</t>
        </is>
      </c>
      <c r="C18" s="123" t="n">
        <v>0.8</v>
      </c>
      <c r="D18" s="121" t="n">
        <v>46231</v>
      </c>
      <c r="E18" s="122" t="n">
        <v>46233</v>
      </c>
      <c r="F18" s="123" t="n">
        <v>0.3</v>
      </c>
      <c r="G18" s="121" t="n">
        <v>46232</v>
      </c>
      <c r="H18" s="122" t="n">
        <v>46235</v>
      </c>
      <c r="I18" s="124" t="n">
        <v>0</v>
      </c>
      <c r="J18" s="121" t="n"/>
      <c r="K18" s="122" t="n">
        <v>46237</v>
      </c>
      <c r="L18" s="124" t="n">
        <v>0</v>
      </c>
      <c r="M18" s="121" t="n"/>
      <c r="N18" s="122" t="n">
        <v>46239</v>
      </c>
      <c r="O18" s="87" t="n"/>
      <c r="P18" s="121" t="n"/>
      <c r="Q18" s="122" t="n"/>
      <c r="R18" s="87" t="n"/>
      <c r="S18" s="121" t="n"/>
      <c r="T18" s="122" t="n"/>
      <c r="U18" s="87" t="n"/>
      <c r="V18" s="121" t="n"/>
      <c r="W18" s="125" t="n"/>
      <c r="X18" s="99">
        <f>AVERAGE(C18,F18,I18,L18)</f>
        <v/>
      </c>
    </row>
    <row r="19">
      <c r="A19" s="61" t="n">
        <v>3</v>
      </c>
      <c r="B19" s="58" t="inlineStr">
        <is>
          <t>Meeting Room</t>
        </is>
      </c>
      <c r="C19" s="126" t="n">
        <v>0.2</v>
      </c>
      <c r="D19" s="121" t="n">
        <v>46232</v>
      </c>
      <c r="E19" s="122" t="n">
        <v>46231</v>
      </c>
      <c r="F19" s="124" t="n">
        <v>0</v>
      </c>
      <c r="G19" s="121" t="n"/>
      <c r="H19" s="122" t="n">
        <v>46236</v>
      </c>
      <c r="I19" s="124" t="n">
        <v>0</v>
      </c>
      <c r="J19" s="121" t="n"/>
      <c r="K19" s="122" t="n">
        <v>46238</v>
      </c>
      <c r="L19" s="124" t="n">
        <v>0</v>
      </c>
      <c r="M19" s="121" t="n"/>
      <c r="N19" s="122" t="n">
        <v>46240</v>
      </c>
      <c r="O19" s="87" t="n"/>
      <c r="P19" s="121" t="n"/>
      <c r="Q19" s="122" t="n"/>
      <c r="R19" s="87" t="n"/>
      <c r="S19" s="121" t="n"/>
      <c r="T19" s="122" t="n"/>
      <c r="U19" s="87" t="n"/>
      <c r="V19" s="121" t="n"/>
      <c r="W19" s="125" t="n"/>
      <c r="X19" s="99">
        <f>AVERAGE(C19,F19,I19,L19)</f>
        <v/>
      </c>
    </row>
    <row r="20" ht="15.75" customHeight="1">
      <c r="A20" s="61" t="n"/>
      <c r="B20" s="76" t="n"/>
      <c r="C20" s="87" t="n"/>
      <c r="D20" s="121" t="n"/>
      <c r="E20" s="122" t="n"/>
      <c r="F20" s="87" t="n"/>
      <c r="G20" s="121" t="n"/>
      <c r="H20" s="122" t="n"/>
      <c r="I20" s="87" t="n"/>
      <c r="J20" s="121" t="n"/>
      <c r="K20" s="122" t="n"/>
      <c r="L20" s="87" t="n"/>
      <c r="M20" s="121" t="n"/>
      <c r="N20" s="122" t="n"/>
      <c r="O20" s="87" t="n"/>
      <c r="P20" s="121" t="n"/>
      <c r="Q20" s="122" t="n"/>
      <c r="R20" s="87" t="n"/>
      <c r="S20" s="121" t="n"/>
      <c r="T20" s="122" t="n"/>
      <c r="U20" s="87" t="n"/>
      <c r="V20" s="121" t="n"/>
      <c r="W20" s="125" t="n"/>
      <c r="X20" s="99" t="n"/>
    </row>
    <row r="21" ht="15.75" customHeight="1" thickBot="1">
      <c r="A21" s="59" t="n"/>
      <c r="B21" s="58" t="n"/>
      <c r="C21" s="90" t="n"/>
      <c r="D21" s="91" t="n"/>
      <c r="E21" s="92" t="n"/>
      <c r="F21" s="90" t="n"/>
      <c r="G21" s="91" t="n"/>
      <c r="H21" s="92" t="n"/>
      <c r="I21" s="90" t="n"/>
      <c r="J21" s="91" t="n"/>
      <c r="K21" s="92" t="n"/>
      <c r="L21" s="90" t="n"/>
      <c r="M21" s="91" t="n"/>
      <c r="N21" s="92" t="n"/>
      <c r="O21" s="90" t="n"/>
      <c r="P21" s="91" t="n"/>
      <c r="Q21" s="92" t="n"/>
      <c r="R21" s="90" t="n"/>
      <c r="S21" s="91" t="n"/>
      <c r="T21" s="92" t="n"/>
      <c r="U21" s="90" t="n"/>
      <c r="V21" s="91" t="n"/>
      <c r="W21" s="91" t="n"/>
      <c r="X21" s="58" t="n"/>
    </row>
    <row r="22" ht="15.75" customHeight="1">
      <c r="A22" s="38" t="n"/>
      <c r="B22" s="127" t="inlineStr">
        <is>
          <t>Overall Percentage (%)</t>
        </is>
      </c>
      <c r="C22" s="84" t="n"/>
      <c r="D22" s="128" t="n"/>
      <c r="E22" s="129" t="n"/>
      <c r="F22" s="84" t="n"/>
      <c r="G22" s="128" t="n"/>
      <c r="H22" s="129" t="n"/>
      <c r="I22" s="84" t="n"/>
      <c r="J22" s="128" t="n"/>
      <c r="K22" s="129" t="n"/>
      <c r="L22" s="84" t="n"/>
      <c r="M22" s="128" t="n"/>
      <c r="N22" s="129" t="n"/>
      <c r="O22" s="84" t="n"/>
      <c r="P22" s="128" t="n"/>
      <c r="Q22" s="129" t="n"/>
      <c r="R22" s="84" t="n"/>
      <c r="S22" s="128" t="n"/>
      <c r="T22" s="129" t="n"/>
      <c r="U22" s="84" t="n"/>
      <c r="V22" s="128" t="n"/>
      <c r="W22" s="128" t="n"/>
      <c r="X22" s="98" t="n"/>
    </row>
    <row r="23" ht="15.75" customHeight="1" thickBot="1">
      <c r="A23" s="37" t="n"/>
      <c r="B23" s="130" t="n"/>
      <c r="C23" s="113">
        <f>AVERAGE(C15:C22)</f>
        <v/>
      </c>
      <c r="D23" s="131" t="n"/>
      <c r="E23" s="132" t="n"/>
      <c r="F23" s="113">
        <f>AVERAGE(F15:F22)</f>
        <v/>
      </c>
      <c r="G23" s="131" t="n"/>
      <c r="H23" s="132" t="n"/>
      <c r="I23" s="113">
        <f>AVERAGE(I15:I22)</f>
        <v/>
      </c>
      <c r="J23" s="131" t="n"/>
      <c r="K23" s="132" t="n"/>
      <c r="L23" s="113">
        <f>AVERAGE(L15:L22)</f>
        <v/>
      </c>
      <c r="M23" s="131" t="n"/>
      <c r="N23" s="132" t="n"/>
      <c r="O23" s="113" t="n"/>
      <c r="P23" s="131" t="n"/>
      <c r="Q23" s="132" t="n"/>
      <c r="R23" s="113" t="n"/>
      <c r="S23" s="131" t="n"/>
      <c r="T23" s="132" t="n"/>
      <c r="U23" s="113" t="n"/>
      <c r="V23" s="131" t="n"/>
      <c r="W23" s="131" t="n"/>
      <c r="X23" s="114">
        <f>AVERAGE(X15:X22)</f>
        <v/>
      </c>
    </row>
    <row r="24" ht="27" customHeight="1">
      <c r="B24" s="1" t="inlineStr">
        <is>
          <t xml:space="preserve">Coming Soon:- Targeted Progress on within this week 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</row>
    <row r="25" ht="18" customHeight="1">
      <c r="D25" s="27" t="n"/>
      <c r="E25" s="27" t="n"/>
      <c r="G25" s="27" t="n"/>
      <c r="H25" s="27" t="n"/>
      <c r="J25" s="27" t="n"/>
      <c r="K25" s="27" t="n"/>
      <c r="L25" s="27" t="n"/>
      <c r="M25" s="27" t="n"/>
      <c r="N25" s="27" t="n"/>
      <c r="P25" s="27" t="n"/>
      <c r="Q25" s="27" t="n"/>
      <c r="R25" s="27" t="n"/>
      <c r="S25" s="27" t="n"/>
      <c r="T25" s="27" t="n"/>
      <c r="V25" s="27" t="n"/>
      <c r="W25" s="27" t="n"/>
    </row>
    <row r="26" ht="18" customHeight="1">
      <c r="B26" s="53" t="n"/>
      <c r="C26" s="23" t="inlineStr">
        <is>
          <t>In Progress</t>
        </is>
      </c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</row>
    <row r="27" ht="18" customHeight="1">
      <c r="B27" s="1" t="n"/>
      <c r="C27" s="23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44" t="n"/>
      <c r="U27" s="24" t="n"/>
      <c r="V27" s="24" t="n"/>
      <c r="W27" s="24" t="n"/>
    </row>
    <row r="28" ht="18" customHeight="1">
      <c r="B28" s="55" t="n"/>
      <c r="C28" s="23" t="inlineStr">
        <is>
          <t>Delay</t>
        </is>
      </c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</row>
    <row r="29" ht="18" customHeight="1">
      <c r="B29" s="1" t="n"/>
      <c r="C29" s="23" t="n"/>
      <c r="D29" s="27" t="n"/>
      <c r="E29" s="27" t="n"/>
      <c r="G29" s="27" t="n"/>
      <c r="H29" s="27" t="n"/>
      <c r="J29" s="27" t="n"/>
      <c r="K29" s="27" t="n"/>
      <c r="L29" s="27" t="n"/>
      <c r="M29" s="27" t="n"/>
      <c r="N29" s="27" t="n"/>
      <c r="P29" s="27" t="n"/>
      <c r="Q29" s="27" t="n"/>
      <c r="R29" s="27" t="n"/>
      <c r="S29" s="27" t="n"/>
      <c r="T29" s="27" t="n"/>
      <c r="V29" s="27" t="n"/>
      <c r="W29" s="27" t="n"/>
    </row>
    <row r="30" ht="18" customHeight="1">
      <c r="B30" s="60" t="n"/>
      <c r="C30" s="23" t="inlineStr">
        <is>
          <t>Not Started</t>
        </is>
      </c>
      <c r="D30" s="27" t="n"/>
      <c r="E30" s="27" t="n"/>
      <c r="G30" s="27" t="n"/>
      <c r="H30" s="27" t="n"/>
      <c r="J30" s="27" t="n"/>
      <c r="K30" s="27" t="n"/>
      <c r="L30" s="27" t="n"/>
      <c r="M30" s="27" t="n"/>
      <c r="N30" s="27" t="n"/>
      <c r="P30" s="27" t="n"/>
      <c r="Q30" s="27" t="n"/>
      <c r="R30" s="27" t="n"/>
      <c r="S30" s="27" t="n"/>
      <c r="T30" s="27" t="n"/>
      <c r="V30" s="27" t="n"/>
      <c r="W30" s="27" t="n"/>
    </row>
    <row r="31" ht="15.45" customHeight="1">
      <c r="C31" s="23" t="n"/>
      <c r="D31" s="54" t="n"/>
      <c r="G31" s="54" t="n"/>
      <c r="I31" s="23" t="n"/>
      <c r="J31" s="54" t="n"/>
      <c r="K31" s="23" t="n"/>
      <c r="L31" s="57" t="n"/>
      <c r="M31" s="54" t="n"/>
      <c r="N31" s="4" t="n"/>
      <c r="O31" s="32" t="n"/>
      <c r="P31" s="54" t="n"/>
      <c r="Q31" s="4" t="n"/>
      <c r="R31" s="4" t="n"/>
      <c r="S31" s="54" t="n"/>
      <c r="T31" s="4" t="n"/>
      <c r="U31" s="19" t="n"/>
      <c r="V31" s="54" t="n"/>
      <c r="W31" s="4" t="n"/>
    </row>
    <row r="32" ht="18" customHeight="1">
      <c r="B32" s="56" t="n"/>
      <c r="C32" s="23" t="inlineStr">
        <is>
          <t>Completed</t>
        </is>
      </c>
      <c r="D32" s="27" t="n"/>
      <c r="E32" s="27" t="n"/>
      <c r="G32" s="27" t="n"/>
      <c r="H32" s="27" t="n"/>
      <c r="J32" s="27" t="n"/>
      <c r="K32" s="27" t="n"/>
      <c r="L32" s="27" t="n"/>
      <c r="M32" s="27" t="n"/>
      <c r="N32" s="27" t="n"/>
      <c r="P32" s="27" t="n"/>
      <c r="Q32" s="27" t="n"/>
      <c r="R32" s="27" t="n"/>
      <c r="S32" s="27" t="n"/>
      <c r="T32" s="27" t="n"/>
      <c r="V32" s="27" t="n"/>
      <c r="W32" s="27" t="n"/>
    </row>
    <row r="33" ht="20.15" customHeight="1">
      <c r="A33" s="20" t="n"/>
      <c r="B33" s="20" t="n"/>
      <c r="D33" s="20" t="n"/>
      <c r="G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</row>
    <row r="34">
      <c r="D34" s="27" t="n"/>
      <c r="E34" s="27" t="n"/>
      <c r="G34" s="27" t="n"/>
      <c r="H34" s="27" t="n"/>
      <c r="J34" s="27" t="n"/>
      <c r="K34" s="27" t="n"/>
      <c r="L34" s="27" t="n"/>
      <c r="M34" s="27" t="n"/>
      <c r="N34" s="27" t="n"/>
      <c r="P34" s="27" t="n"/>
      <c r="Q34" s="27" t="n"/>
      <c r="R34" s="27" t="n"/>
      <c r="S34" s="27" t="n"/>
      <c r="T34" s="27" t="n"/>
      <c r="V34" s="27" t="n"/>
      <c r="W34" s="27" t="n"/>
    </row>
    <row r="35">
      <c r="D35" s="27" t="n"/>
      <c r="E35" s="27" t="n"/>
      <c r="G35" s="27" t="n"/>
      <c r="H35" s="27" t="n"/>
      <c r="J35" s="27" t="n"/>
      <c r="K35" s="27" t="n"/>
      <c r="L35" s="27" t="n"/>
      <c r="M35" s="27" t="n"/>
      <c r="N35" s="27" t="n"/>
      <c r="P35" s="27" t="n"/>
      <c r="Q35" s="27" t="n"/>
      <c r="R35" s="27" t="n"/>
      <c r="S35" s="27" t="n"/>
      <c r="T35" s="27" t="n"/>
      <c r="V35" s="27" t="n"/>
      <c r="W35" s="27" t="n"/>
    </row>
  </sheetData>
  <mergeCells count="6">
    <mergeCell ref="C12:N12"/>
    <mergeCell ref="C13:E13"/>
    <mergeCell ref="I13:K13"/>
    <mergeCell ref="F13:H13"/>
    <mergeCell ref="B22:B23"/>
    <mergeCell ref="L13:N13"/>
  </mergeCells>
  <pageMargins left="0.7" right="0.7" top="0.75" bottom="0.75" header="0.3" footer="0.3"/>
  <pageSetup orientation="landscape" paperSize="9" scale="61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indexed="11"/>
    <outlinePr summaryBelow="1" summaryRight="1"/>
    <pageSetUpPr fitToPage="1"/>
  </sheetPr>
  <dimension ref="A9:L25"/>
  <sheetViews>
    <sheetView view="pageBreakPreview" zoomScale="85" zoomScaleNormal="55" zoomScaleSheetLayoutView="85" workbookViewId="0">
      <selection activeCell="A9" sqref="A9"/>
    </sheetView>
  </sheetViews>
  <sheetFormatPr baseColWidth="8" defaultColWidth="9.15234375" defaultRowHeight="12.45"/>
  <cols>
    <col width="5.69140625" customWidth="1" style="22" min="1" max="1"/>
    <col width="12.84375" bestFit="1" customWidth="1" style="22" min="2" max="2"/>
    <col width="45.69140625" customWidth="1" style="22" min="3" max="3"/>
    <col width="19.15234375" customWidth="1" style="70" min="4" max="8"/>
    <col width="12.765625" customWidth="1" style="22" min="9" max="15"/>
    <col width="9.15234375" customWidth="1" style="22" min="16" max="16384"/>
  </cols>
  <sheetData>
    <row r="9" ht="15.45" customHeight="1">
      <c r="A9" s="4" t="inlineStr">
        <is>
          <t>Progress Report Updated On :</t>
        </is>
      </c>
      <c r="D9" s="4" t="inlineStr">
        <is>
          <t>2026-07-30</t>
        </is>
      </c>
      <c r="E9" s="4" t="n"/>
      <c r="F9" s="4" t="n"/>
      <c r="G9" s="4" t="n"/>
      <c r="H9" s="4" t="n"/>
      <c r="J9" s="27" t="n"/>
      <c r="L9" s="27" t="n"/>
    </row>
    <row r="10" ht="15.45" customHeight="1">
      <c r="A10" s="4" t="inlineStr">
        <is>
          <t>Project :</t>
        </is>
      </c>
      <c r="D10" s="4" t="inlineStr">
        <is>
          <t>Aurora Tech Shanghai - L28 Smart Office Retrofit</t>
        </is>
      </c>
      <c r="E10" s="4" t="n"/>
      <c r="F10" s="4" t="n"/>
      <c r="G10" s="4" t="n"/>
      <c r="H10" s="4" t="n"/>
      <c r="J10" s="27" t="n"/>
      <c r="L10" s="27" t="n"/>
    </row>
    <row r="11" ht="12.9" customHeight="1" thickBot="1">
      <c r="A11" s="25" t="n"/>
    </row>
    <row r="12" ht="25.3" customHeight="1" thickBot="1">
      <c r="A12" s="47" t="inlineStr">
        <is>
          <t>Item No.</t>
        </is>
      </c>
      <c r="B12" s="48" t="inlineStr">
        <is>
          <t>Date</t>
        </is>
      </c>
      <c r="C12" s="49" t="inlineStr">
        <is>
          <t>Description</t>
        </is>
      </c>
      <c r="D12" s="112" t="inlineStr">
        <is>
          <t>Photos</t>
        </is>
      </c>
      <c r="E12" s="115" t="n"/>
      <c r="F12" s="115" t="n"/>
      <c r="G12" s="115" t="n"/>
      <c r="H12" s="115" t="n"/>
    </row>
    <row r="13" ht="68.05" customFormat="1" customHeight="1" s="11">
      <c r="A13" s="9" t="n">
        <v>1</v>
      </c>
      <c r="B13" s="133" t="n">
        <v>46233</v>
      </c>
      <c r="C13" s="73" t="inlineStr">
        <is>
          <t>Before cable pulling / 穿线前</t>
        </is>
      </c>
      <c r="D13" s="5" t="n"/>
      <c r="E13" s="5" t="n"/>
      <c r="F13" s="5" t="n"/>
      <c r="G13" s="5" t="n"/>
      <c r="H13" s="5" t="n"/>
    </row>
    <row r="14" ht="68.05" customFormat="1" customHeight="1" s="11">
      <c r="A14" s="9" t="n">
        <v>2</v>
      </c>
      <c r="B14" s="133" t="n">
        <v>46233</v>
      </c>
      <c r="C14" s="73" t="inlineStr">
        <is>
          <t>Cable pulling completed / 穿线完成</t>
        </is>
      </c>
      <c r="D14" s="5" t="n"/>
      <c r="E14" s="5" t="n"/>
      <c r="F14" s="5" t="n"/>
      <c r="G14" s="5" t="n"/>
      <c r="H14" s="5" t="n"/>
    </row>
    <row r="15" ht="68.05" customFormat="1" customHeight="1" s="11">
      <c r="A15" s="9" t="n">
        <v>3</v>
      </c>
      <c r="B15" s="133" t="n">
        <v>46233</v>
      </c>
      <c r="C15" s="73" t="inlineStr">
        <is>
          <t>Termination in progress / 端接过程</t>
        </is>
      </c>
      <c r="D15" s="5" t="n"/>
      <c r="E15" s="5" t="n"/>
      <c r="F15" s="5" t="n"/>
      <c r="G15" s="5" t="n"/>
      <c r="H15" s="5" t="n"/>
    </row>
    <row r="16" ht="68.05" customHeight="1">
      <c r="A16" s="9" t="n">
        <v>4</v>
      </c>
      <c r="B16" s="133" t="n">
        <v>46233</v>
      </c>
      <c r="C16" s="73" t="inlineStr">
        <is>
          <t>Termination completed / 端接完成</t>
        </is>
      </c>
      <c r="D16" s="42" t="n"/>
      <c r="E16" s="42" t="n"/>
      <c r="F16" s="42" t="n"/>
      <c r="G16" s="42" t="n"/>
      <c r="H16" s="42" t="n"/>
    </row>
    <row r="17" ht="68.05" customHeight="1">
      <c r="A17" s="9" t="n">
        <v>5</v>
      </c>
      <c r="B17" s="133" t="n">
        <v>46233</v>
      </c>
      <c r="C17" s="73" t="inlineStr">
        <is>
          <t>Before cable pulling / 穿线前</t>
        </is>
      </c>
      <c r="D17" s="42" t="n"/>
      <c r="E17" s="42" t="n"/>
      <c r="F17" s="42" t="n"/>
      <c r="G17" s="42" t="n"/>
      <c r="H17" s="42" t="n"/>
    </row>
    <row r="18" ht="68.05" customHeight="1">
      <c r="A18" s="9" t="n">
        <v>6</v>
      </c>
      <c r="B18" s="133" t="n">
        <v>46233</v>
      </c>
      <c r="C18" s="73" t="inlineStr">
        <is>
          <t>Cable pulling completed / 穿线完成</t>
        </is>
      </c>
      <c r="D18" s="42" t="n"/>
      <c r="E18" s="42" t="n"/>
      <c r="F18" s="42" t="n"/>
      <c r="G18" s="42" t="n"/>
      <c r="H18" s="42" t="n"/>
    </row>
    <row r="19" ht="68.05" customHeight="1">
      <c r="A19" s="9" t="n">
        <v>7</v>
      </c>
      <c r="B19" s="133" t="n">
        <v>46233</v>
      </c>
      <c r="C19" s="73" t="inlineStr">
        <is>
          <t>Before cable pulling / 穿线前</t>
        </is>
      </c>
      <c r="D19" s="42" t="n"/>
      <c r="E19" s="42" t="n"/>
      <c r="F19" s="42" t="n"/>
      <c r="G19" s="42" t="n"/>
      <c r="H19" s="42" t="n"/>
    </row>
    <row r="20" ht="68.05" customHeight="1">
      <c r="A20" s="9" t="n"/>
      <c r="B20" s="134" t="n"/>
      <c r="C20" s="73" t="n"/>
      <c r="D20" s="42" t="n"/>
      <c r="E20" s="42" t="n"/>
      <c r="F20" s="42" t="n"/>
      <c r="G20" s="42" t="n"/>
      <c r="H20" s="42" t="n"/>
    </row>
    <row r="21" ht="68.05" customHeight="1">
      <c r="A21" s="9" t="n"/>
      <c r="B21" s="134" t="n"/>
      <c r="C21" s="73" t="n"/>
      <c r="D21" s="42" t="n"/>
      <c r="E21" s="42" t="n"/>
      <c r="F21" s="42" t="n"/>
      <c r="G21" s="42" t="n"/>
      <c r="H21" s="42" t="n"/>
    </row>
    <row r="22" ht="68.05" customHeight="1">
      <c r="A22" s="9" t="n"/>
      <c r="B22" s="134" t="n"/>
      <c r="C22" s="73" t="n"/>
      <c r="D22" s="42" t="n"/>
      <c r="E22" s="42" t="n"/>
      <c r="F22" s="42" t="n"/>
      <c r="G22" s="42" t="n"/>
      <c r="H22" s="42" t="n"/>
    </row>
    <row r="23" ht="68.05" customHeight="1">
      <c r="A23" s="9" t="n"/>
      <c r="B23" s="134" t="n"/>
      <c r="C23" s="73" t="n"/>
      <c r="D23" s="42" t="n"/>
      <c r="E23" s="42" t="n"/>
      <c r="F23" s="42" t="n"/>
      <c r="G23" s="42" t="n"/>
      <c r="H23" s="42" t="n"/>
    </row>
    <row r="24" ht="68.05" customHeight="1">
      <c r="A24" s="9" t="n"/>
    </row>
    <row r="25">
      <c r="A25" s="74" t="n"/>
      <c r="B25" s="74" t="n"/>
      <c r="C25" s="74" t="n"/>
      <c r="D25" s="74" t="n"/>
      <c r="E25" s="74" t="n"/>
      <c r="F25" s="74" t="n"/>
      <c r="G25" s="74" t="n"/>
      <c r="H25" s="74" t="n"/>
    </row>
  </sheetData>
  <mergeCells count="1">
    <mergeCell ref="D12:H12"/>
  </mergeCells>
  <pageMargins left="0.7" right="0.7" top="0.75" bottom="0.75" header="0.3" footer="0.3"/>
  <pageSetup orientation="portrait" paperSize="9" scale="51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indexed="53"/>
    <outlinePr summaryBelow="1" summaryRight="1"/>
    <pageSetUpPr fitToPage="1"/>
  </sheetPr>
  <dimension ref="A9:AC26"/>
  <sheetViews>
    <sheetView tabSelected="1" view="pageBreakPreview" zoomScale="85" zoomScaleNormal="70" zoomScaleSheetLayoutView="85" workbookViewId="0">
      <selection activeCell="C14" sqref="C14:D14"/>
    </sheetView>
  </sheetViews>
  <sheetFormatPr baseColWidth="8" defaultColWidth="9.15234375" defaultRowHeight="12.45"/>
  <cols>
    <col width="7.15234375" customWidth="1" style="22" min="1" max="1"/>
    <col width="13.3046875" customWidth="1" style="22" min="2" max="2"/>
    <col width="41.53515625" customWidth="1" style="22" min="3" max="3"/>
    <col width="50.69140625" customWidth="1" style="22" min="4" max="4"/>
    <col width="42.3046875" customWidth="1" style="22" min="5" max="5"/>
    <col width="30.69140625" customWidth="1" style="22" min="6" max="6"/>
    <col width="21.69140625" customWidth="1" style="22" min="7" max="7"/>
    <col width="21.3046875" customWidth="1" style="22" min="8" max="8"/>
    <col width="13.15234375" customWidth="1" style="22" min="9" max="9"/>
    <col width="25.3828125" bestFit="1" customWidth="1" style="22" min="10" max="10"/>
    <col width="9.15234375" customWidth="1" style="22" min="11" max="16384"/>
  </cols>
  <sheetData>
    <row r="9" ht="22.75" customFormat="1" customHeight="1" s="33">
      <c r="A9" s="101" t="inlineStr">
        <is>
          <t>ISSUE LOG</t>
        </is>
      </c>
      <c r="D9" s="35" t="n"/>
    </row>
    <row r="10" ht="22.75" customFormat="1" customHeight="1" s="33">
      <c r="D10" s="35" t="n"/>
    </row>
    <row r="11" ht="15.45" customHeight="1">
      <c r="A11" s="4" t="inlineStr">
        <is>
          <t>Project :</t>
        </is>
      </c>
      <c r="C11" s="4" t="inlineStr">
        <is>
          <t>Aurora Tech Shanghai - L28 Smart Office Retrofit</t>
        </is>
      </c>
      <c r="E11" s="27" t="n"/>
      <c r="G11" s="27" t="n"/>
      <c r="I11" s="27" t="n"/>
      <c r="K11" s="27" t="n"/>
      <c r="O11" s="27" t="n"/>
      <c r="S11" s="27" t="n"/>
      <c r="W11" s="27" t="n"/>
      <c r="AA11" s="27" t="n"/>
      <c r="AC11" s="27" t="n"/>
    </row>
    <row r="12" ht="12.9" customHeight="1" thickBot="1">
      <c r="B12" s="1" t="n"/>
    </row>
    <row r="13" ht="25.3" customHeight="1" thickBot="1">
      <c r="A13" s="47" t="inlineStr">
        <is>
          <t>Item No.</t>
        </is>
      </c>
      <c r="B13" s="48" t="inlineStr">
        <is>
          <t>Date</t>
        </is>
      </c>
      <c r="C13" s="49" t="inlineStr">
        <is>
          <t>Issue Description</t>
        </is>
      </c>
      <c r="D13" s="49" t="n"/>
      <c r="E13" s="49" t="inlineStr">
        <is>
          <t xml:space="preserve">Risk </t>
        </is>
      </c>
      <c r="F13" s="49" t="inlineStr">
        <is>
          <t>Proposed solution</t>
        </is>
      </c>
      <c r="G13" s="49" t="inlineStr">
        <is>
          <t>Action By</t>
        </is>
      </c>
      <c r="H13" s="112" t="inlineStr">
        <is>
          <t>Completed Photos</t>
        </is>
      </c>
      <c r="I13" s="112" t="inlineStr">
        <is>
          <t>Issue Open / Closed</t>
        </is>
      </c>
      <c r="J13" s="52" t="inlineStr">
        <is>
          <t>Remarks</t>
        </is>
      </c>
    </row>
    <row r="14" ht="49.75" customFormat="1" customHeight="1" s="11">
      <c r="A14" s="63" t="n">
        <v>1</v>
      </c>
      <c r="B14" s="135" t="n">
        <v>46232</v>
      </c>
      <c r="C14" s="102" t="inlineStr">
        <is>
          <t>Meeting Room cable tray routing conflicts with existing HVAC duct</t>
        </is>
      </c>
      <c r="D14" s="103" t="n"/>
      <c r="E14" s="63" t="inlineStr">
        <is>
          <t>Medium</t>
        </is>
      </c>
      <c r="F14" s="64" t="inlineStr">
        <is>
          <t>Coordinate with MEP to reroute tray, propose alternative by 2026-07-31</t>
        </is>
      </c>
      <c r="G14" s="63" t="inlineStr">
        <is>
          <t>Cailleach</t>
        </is>
      </c>
      <c r="H14" s="65" t="n"/>
      <c r="I14" s="136" t="inlineStr">
        <is>
          <t>Open</t>
        </is>
      </c>
      <c r="J14" s="69" t="n"/>
    </row>
    <row r="15" ht="39.9" customFormat="1" customHeight="1" s="11">
      <c r="A15" s="63" t="n"/>
      <c r="B15" s="63" t="n"/>
      <c r="C15" s="102" t="n"/>
      <c r="D15" s="103" t="n"/>
      <c r="E15" s="63" t="n"/>
      <c r="F15" s="64" t="n"/>
      <c r="G15" s="63" t="n"/>
      <c r="H15" s="65" t="n"/>
      <c r="I15" s="66" t="n"/>
      <c r="J15" s="69" t="n"/>
    </row>
    <row r="16" ht="39.9" customFormat="1" customHeight="1" s="11">
      <c r="A16" s="63" t="n"/>
      <c r="B16" s="63" t="n"/>
      <c r="C16" s="102" t="n"/>
      <c r="D16" s="103" t="n"/>
      <c r="E16" s="63" t="n"/>
      <c r="F16" s="64" t="n"/>
      <c r="G16" s="63" t="n"/>
      <c r="H16" s="71" t="n"/>
      <c r="I16" s="66" t="n"/>
      <c r="J16" s="69" t="n"/>
    </row>
    <row r="17" ht="39.9" customFormat="1" customHeight="1" s="33">
      <c r="A17" s="67" t="n"/>
      <c r="B17" s="63" t="n"/>
      <c r="C17" s="102" t="n"/>
      <c r="D17" s="103" t="n"/>
      <c r="E17" s="63" t="n"/>
      <c r="F17" s="64" t="n"/>
      <c r="G17" s="63" t="n"/>
      <c r="H17" s="65" t="n"/>
      <c r="I17" s="66" t="n"/>
      <c r="J17" s="69" t="n"/>
    </row>
    <row r="18" ht="22.75" customFormat="1" customHeight="1" s="33">
      <c r="A18" s="101" t="inlineStr">
        <is>
          <t>RFI / RFA LOG</t>
        </is>
      </c>
      <c r="D18" s="35" t="n"/>
    </row>
    <row r="19" ht="22.75" customFormat="1" customHeight="1" s="33">
      <c r="D19" s="35" t="n"/>
    </row>
    <row r="20" ht="15.45" customHeight="1">
      <c r="A20" s="4" t="inlineStr">
        <is>
          <t>Project :</t>
        </is>
      </c>
      <c r="C20" s="4" t="inlineStr">
        <is>
          <t>Aurora Tech Shanghai - L28 Smart Office Retrofit</t>
        </is>
      </c>
      <c r="E20" s="27" t="n"/>
      <c r="G20" s="27" t="n"/>
      <c r="I20" s="27" t="n"/>
      <c r="K20" s="27" t="n"/>
      <c r="O20" s="27" t="n"/>
      <c r="S20" s="27" t="n"/>
      <c r="W20" s="27" t="n"/>
      <c r="AA20" s="27" t="n"/>
      <c r="AC20" s="27" t="n"/>
    </row>
    <row r="21" ht="12.9" customHeight="1" thickBot="1">
      <c r="A21" s="1" t="n"/>
      <c r="B21" s="1" t="n"/>
    </row>
    <row r="22" ht="25.3" customFormat="1" customHeight="1" s="33" thickBot="1">
      <c r="A22" s="47" t="inlineStr">
        <is>
          <t>Item No.</t>
        </is>
      </c>
      <c r="B22" s="48" t="inlineStr">
        <is>
          <t>Issued Date</t>
        </is>
      </c>
      <c r="C22" s="49" t="inlineStr">
        <is>
          <t>RFI / RFA</t>
        </is>
      </c>
      <c r="D22" s="49" t="n"/>
      <c r="E22" s="49" t="inlineStr">
        <is>
          <t>Description</t>
        </is>
      </c>
      <c r="F22" s="49" t="inlineStr">
        <is>
          <t>Issued to</t>
        </is>
      </c>
      <c r="G22" s="49" t="inlineStr">
        <is>
          <t>Respond by</t>
        </is>
      </c>
      <c r="H22" s="112" t="n"/>
      <c r="I22" s="112" t="inlineStr">
        <is>
          <t>Issue Open / Closed</t>
        </is>
      </c>
      <c r="J22" s="52" t="inlineStr">
        <is>
          <t>Remarks</t>
        </is>
      </c>
    </row>
    <row r="23" customFormat="1" s="33">
      <c r="A23" s="9" t="n">
        <v>1</v>
      </c>
      <c r="B23" s="137" t="n">
        <v>46233</v>
      </c>
      <c r="C23" s="15" t="inlineStr">
        <is>
          <t>RFI</t>
        </is>
      </c>
      <c r="D23" s="5" t="n"/>
      <c r="E23" s="26" t="inlineStr">
        <is>
          <t>Request confirmation of final faceplate color (white vs ivory)</t>
        </is>
      </c>
      <c r="F23" s="6" t="inlineStr">
        <is>
          <t>Aurora Tech PM</t>
        </is>
      </c>
      <c r="G23" s="138" t="n">
        <v>46236</v>
      </c>
      <c r="H23" s="6" t="n"/>
      <c r="I23" s="139" t="inlineStr">
        <is>
          <t>Open</t>
        </is>
      </c>
      <c r="J23" s="7" t="n"/>
    </row>
    <row r="24" customFormat="1" s="33">
      <c r="A24" s="13" t="n"/>
      <c r="B24" s="140" t="n"/>
      <c r="C24" s="15" t="n"/>
      <c r="D24" s="5" t="n"/>
      <c r="E24" s="26" t="n"/>
      <c r="F24" s="141" t="n"/>
      <c r="G24" s="12" t="n"/>
      <c r="H24" s="12" t="n"/>
      <c r="I24" s="18" t="n"/>
      <c r="J24" s="17" t="n"/>
    </row>
    <row r="25" customFormat="1" s="33">
      <c r="A25" s="13" t="n"/>
      <c r="B25" s="140" t="n"/>
      <c r="C25" s="12" t="n"/>
      <c r="D25" s="12" t="n"/>
      <c r="E25" s="36" t="n"/>
      <c r="F25" s="141" t="n"/>
      <c r="G25" s="12" t="n"/>
      <c r="H25" s="12" t="n"/>
      <c r="I25" s="18" t="n"/>
      <c r="J25" s="17" t="n"/>
    </row>
    <row r="26" customFormat="1" s="33">
      <c r="A26" s="13" t="n"/>
      <c r="B26" s="140" t="n"/>
      <c r="C26" s="15" t="n"/>
      <c r="D26" s="15" t="n"/>
      <c r="E26" s="12" t="n"/>
      <c r="F26" s="15" t="n"/>
      <c r="G26" s="15" t="n"/>
      <c r="H26" s="15" t="n"/>
      <c r="I26" s="18" t="n"/>
      <c r="J26" s="17" t="n"/>
    </row>
    <row r="27" customFormat="1" s="33"/>
    <row r="28" customFormat="1" s="33"/>
    <row r="29" customFormat="1" s="33"/>
    <row r="30" customFormat="1" s="33"/>
    <row r="31" customFormat="1" s="33"/>
    <row r="32" customFormat="1" s="33"/>
    <row r="33" customFormat="1" s="33"/>
    <row r="34" customFormat="1" s="33"/>
    <row r="35" customFormat="1" s="33"/>
    <row r="36" customFormat="1" s="33"/>
    <row r="37" customFormat="1" s="33"/>
    <row r="38" customFormat="1" s="33"/>
    <row r="39" customFormat="1" s="33"/>
    <row r="40" customFormat="1" s="33"/>
    <row r="41" customFormat="1" s="33"/>
    <row r="42" customFormat="1" s="33"/>
    <row r="43" customFormat="1" s="33"/>
    <row r="44" customFormat="1" s="33"/>
    <row r="45" customFormat="1" s="33"/>
    <row r="46" customFormat="1" s="33"/>
    <row r="47" customFormat="1" s="33"/>
    <row r="48" customFormat="1" s="33"/>
    <row r="49" customFormat="1" s="33"/>
    <row r="50" customFormat="1" s="33"/>
    <row r="51" customFormat="1" s="33"/>
    <row r="52" customFormat="1" s="33"/>
    <row r="53" customFormat="1" s="33"/>
    <row r="54" customFormat="1" s="33"/>
    <row r="55" customFormat="1" s="33"/>
    <row r="56" customFormat="1" s="33"/>
    <row r="57" customFormat="1" s="33"/>
    <row r="58" customFormat="1" s="33"/>
    <row r="59" customFormat="1" s="33"/>
    <row r="60" customFormat="1" s="33"/>
  </sheetData>
  <mergeCells count="6">
    <mergeCell ref="A18:C19"/>
    <mergeCell ref="C16:D16"/>
    <mergeCell ref="C15:D15"/>
    <mergeCell ref="C14:D14"/>
    <mergeCell ref="A9:C10"/>
    <mergeCell ref="C17:D17"/>
  </mergeCells>
  <pageMargins left="0.7" right="0.7" top="0.75" bottom="0.75" header="0.3" footer="0.3"/>
  <pageSetup orientation="landscape" paperSize="9" scale="50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Janie Yap</dc:creator>
  <dcterms:created xmlns:dcterms="http://purl.org/dc/terms/" xmlns:xsi="http://www.w3.org/2001/XMLSchema-instance" xsi:type="dcterms:W3CDTF">2005-01-18T03:52:10Z</dcterms:created>
  <dcterms:modified xmlns:dcterms="http://purl.org/dc/terms/" xmlns:xsi="http://www.w3.org/2001/XMLSchema-instance" xsi:type="dcterms:W3CDTF">2026-07-30T04:04:50Z</dcterms:modified>
  <cp:lastModifiedBy>Cailleach Zou</cp:lastModifiedBy>
  <cp:lastPrinted>2014-03-28T11:53:30Z</cp:lastPrinted>
</cp:coreProperties>
</file>